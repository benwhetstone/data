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nwhetstone/Library/CloudStorage/GoogleDrive-brwhetstone@gmail.com/My Drive/Job Search/Data Portfolio/"/>
    </mc:Choice>
  </mc:AlternateContent>
  <xr:revisionPtr revIDLastSave="0" documentId="13_ncr:9_{010C6AD1-DDA0-2645-97C5-6DC80D9B5B10}" xr6:coauthVersionLast="47" xr6:coauthVersionMax="47" xr10:uidLastSave="{00000000-0000-0000-0000-000000000000}"/>
  <bookViews>
    <workbookView xWindow="16000" yWindow="4540" windowWidth="24700" windowHeight="21580" xr2:uid="{BEB1CF77-0E5D-194F-A55E-D246CA4541B3}"/>
  </bookViews>
  <sheets>
    <sheet name="Pivot" sheetId="4" r:id="rId1"/>
    <sheet name="Deals" sheetId="1" r:id="rId2"/>
    <sheet name="Agents" sheetId="2" r:id="rId3"/>
    <sheet name="Summary" sheetId="3" r:id="rId4"/>
  </sheets>
  <calcPr calcId="191029" iterateDelta="1E-4"/>
  <pivotCaches>
    <pivotCache cacheId="4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3" l="1"/>
  <c r="F4" i="3"/>
  <c r="F5" i="3"/>
  <c r="F6" i="3"/>
  <c r="F7" i="3"/>
  <c r="F2" i="3"/>
  <c r="E3" i="3"/>
  <c r="E4" i="3"/>
  <c r="E5" i="3"/>
  <c r="E6" i="3"/>
  <c r="E7" i="3"/>
  <c r="E2" i="3"/>
  <c r="B3" i="3"/>
  <c r="B4" i="3"/>
  <c r="B5" i="3"/>
  <c r="B6" i="3"/>
  <c r="B7" i="3"/>
  <c r="B8" i="3"/>
  <c r="B2" i="3"/>
  <c r="N3" i="1" a="1"/>
  <c r="N3" i="1" s="1"/>
  <c r="N4" i="1" a="1"/>
  <c r="N4" i="1" s="1"/>
  <c r="N5" i="1" a="1"/>
  <c r="N5" i="1" s="1"/>
  <c r="N6" i="1" a="1"/>
  <c r="N6" i="1" s="1"/>
  <c r="N7" i="1" a="1"/>
  <c r="N7" i="1" s="1"/>
  <c r="N8" i="1" a="1"/>
  <c r="N8" i="1" s="1"/>
  <c r="N9" i="1" a="1"/>
  <c r="N9" i="1" s="1"/>
  <c r="N10" i="1" a="1"/>
  <c r="N10" i="1" s="1"/>
  <c r="N11" i="1" a="1"/>
  <c r="N11" i="1" s="1"/>
  <c r="N12" i="1" a="1"/>
  <c r="N12" i="1" s="1"/>
  <c r="N13" i="1" a="1"/>
  <c r="N13" i="1" s="1"/>
  <c r="N14" i="1" a="1"/>
  <c r="N14" i="1" s="1"/>
  <c r="N15" i="1" a="1"/>
  <c r="N15" i="1" s="1"/>
  <c r="N16" i="1" a="1"/>
  <c r="N16" i="1" s="1"/>
  <c r="N17" i="1" a="1"/>
  <c r="N17" i="1" s="1"/>
  <c r="N18" i="1" a="1"/>
  <c r="N18" i="1" s="1"/>
  <c r="N19" i="1" a="1"/>
  <c r="N19" i="1" s="1"/>
  <c r="N20" i="1" a="1"/>
  <c r="N20" i="1" s="1"/>
  <c r="N21" i="1" a="1"/>
  <c r="N21" i="1" s="1"/>
  <c r="N22" i="1" a="1"/>
  <c r="N22" i="1" s="1"/>
  <c r="N23" i="1" a="1"/>
  <c r="N23" i="1" s="1"/>
  <c r="N24" i="1" a="1"/>
  <c r="N24" i="1" s="1"/>
  <c r="N25" i="1" a="1"/>
  <c r="N25" i="1" s="1"/>
  <c r="N26" i="1" a="1"/>
  <c r="N26" i="1" s="1"/>
  <c r="N27" i="1" a="1"/>
  <c r="N27" i="1" s="1"/>
  <c r="N28" i="1" a="1"/>
  <c r="N28" i="1" s="1"/>
  <c r="N29" i="1" a="1"/>
  <c r="N29" i="1" s="1"/>
  <c r="N30" i="1" a="1"/>
  <c r="N30" i="1" s="1"/>
  <c r="N31" i="1" a="1"/>
  <c r="N31" i="1" s="1"/>
  <c r="N32" i="1" a="1"/>
  <c r="N32" i="1" s="1"/>
  <c r="N33" i="1" a="1"/>
  <c r="N33" i="1" s="1"/>
  <c r="N34" i="1" a="1"/>
  <c r="N34" i="1" s="1"/>
  <c r="N35" i="1" a="1"/>
  <c r="N35" i="1" s="1"/>
  <c r="N36" i="1" a="1"/>
  <c r="N36" i="1" s="1"/>
  <c r="N37" i="1" a="1"/>
  <c r="N37" i="1" s="1"/>
  <c r="N38" i="1" a="1"/>
  <c r="N38" i="1" s="1"/>
  <c r="N39" i="1" a="1"/>
  <c r="N39" i="1" s="1"/>
  <c r="N40" i="1" a="1"/>
  <c r="N40" i="1" s="1"/>
  <c r="N41" i="1" a="1"/>
  <c r="N41" i="1" s="1"/>
  <c r="N42" i="1" a="1"/>
  <c r="N42" i="1" s="1"/>
  <c r="N43" i="1" a="1"/>
  <c r="N43" i="1" s="1"/>
  <c r="N44" i="1" a="1"/>
  <c r="N44" i="1" s="1"/>
  <c r="N45" i="1" a="1"/>
  <c r="N45" i="1" s="1"/>
  <c r="N46" i="1" a="1"/>
  <c r="N46" i="1" s="1"/>
  <c r="N47" i="1" a="1"/>
  <c r="N47" i="1" s="1"/>
  <c r="N48" i="1" a="1"/>
  <c r="N48" i="1" s="1"/>
  <c r="N49" i="1" a="1"/>
  <c r="N49" i="1" s="1"/>
  <c r="N2" i="1" a="1"/>
  <c r="N2" i="1" s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<sst xmlns="http://schemas.openxmlformats.org/spreadsheetml/2006/main" count="260" uniqueCount="115">
  <si>
    <t>DealID</t>
  </si>
  <si>
    <t>Agent</t>
  </si>
  <si>
    <t>City</t>
  </si>
  <si>
    <t>Stage</t>
  </si>
  <si>
    <t>Value</t>
  </si>
  <si>
    <t>Probability</t>
  </si>
  <si>
    <t>CreatedDate</t>
  </si>
  <si>
    <t>CloseDate</t>
  </si>
  <si>
    <t>LastActivityDate</t>
  </si>
  <si>
    <t>ActivityCount</t>
  </si>
  <si>
    <t>D1001</t>
  </si>
  <si>
    <t xml:space="preserve">  sofia rossi</t>
  </si>
  <si>
    <t>Tampa</t>
  </si>
  <si>
    <t>Lead</t>
  </si>
  <si>
    <t>D1002</t>
  </si>
  <si>
    <t xml:space="preserve">  maria garcia</t>
  </si>
  <si>
    <t>Riverview</t>
  </si>
  <si>
    <t>Under Contract</t>
  </si>
  <si>
    <t>D1003</t>
  </si>
  <si>
    <t xml:space="preserve">CHEN WEI </t>
  </si>
  <si>
    <t>Clearwater</t>
  </si>
  <si>
    <t>Qualified</t>
  </si>
  <si>
    <t>D1004</t>
  </si>
  <si>
    <t xml:space="preserve">  james o'brien</t>
  </si>
  <si>
    <t>Largo</t>
  </si>
  <si>
    <t>Closed Won</t>
  </si>
  <si>
    <t>D1005</t>
  </si>
  <si>
    <t>D1006</t>
  </si>
  <si>
    <t xml:space="preserve">  chen wei</t>
  </si>
  <si>
    <t>Wesley Chapel</t>
  </si>
  <si>
    <t>D1007</t>
  </si>
  <si>
    <t>D1008</t>
  </si>
  <si>
    <t xml:space="preserve">MARIA GARCIA </t>
  </si>
  <si>
    <t>St. Petersburg</t>
  </si>
  <si>
    <t>Offer</t>
  </si>
  <si>
    <t>D1009</t>
  </si>
  <si>
    <t xml:space="preserve"> Sofia Rossi </t>
  </si>
  <si>
    <t>D1010</t>
  </si>
  <si>
    <t xml:space="preserve"> James O'Brien </t>
  </si>
  <si>
    <t>D1011</t>
  </si>
  <si>
    <t>Closed Lost</t>
  </si>
  <si>
    <t>D1012</t>
  </si>
  <si>
    <t xml:space="preserve">SOFIA ROSSI </t>
  </si>
  <si>
    <t>Showing</t>
  </si>
  <si>
    <t>D1013</t>
  </si>
  <si>
    <t>james o'brien</t>
  </si>
  <si>
    <t>Brandon</t>
  </si>
  <si>
    <t>D1014</t>
  </si>
  <si>
    <t xml:space="preserve">  david washington</t>
  </si>
  <si>
    <t>D1015</t>
  </si>
  <si>
    <t>D1016</t>
  </si>
  <si>
    <t>Chen Wei</t>
  </si>
  <si>
    <t>D1017</t>
  </si>
  <si>
    <t>D1018</t>
  </si>
  <si>
    <t>D1019</t>
  </si>
  <si>
    <t>D1020</t>
  </si>
  <si>
    <t>Maria Garcia</t>
  </si>
  <si>
    <t>D1021</t>
  </si>
  <si>
    <t>D1022</t>
  </si>
  <si>
    <t>D1023</t>
  </si>
  <si>
    <t>priya patel</t>
  </si>
  <si>
    <t>D1024</t>
  </si>
  <si>
    <t>Sofia Rossi</t>
  </si>
  <si>
    <t>D1025</t>
  </si>
  <si>
    <t>D1026</t>
  </si>
  <si>
    <t>D1027</t>
  </si>
  <si>
    <t>D1028</t>
  </si>
  <si>
    <t>D1029</t>
  </si>
  <si>
    <t xml:space="preserve">DAVID WASHINGTON </t>
  </si>
  <si>
    <t>D1030</t>
  </si>
  <si>
    <t>D1031</t>
  </si>
  <si>
    <t xml:space="preserve"> Maria Garcia </t>
  </si>
  <si>
    <t>D1032</t>
  </si>
  <si>
    <t>D1033</t>
  </si>
  <si>
    <t>maria garcia</t>
  </si>
  <si>
    <t>D1034</t>
  </si>
  <si>
    <t>D1035</t>
  </si>
  <si>
    <t>D1036</t>
  </si>
  <si>
    <t>David Washington</t>
  </si>
  <si>
    <t>D1037</t>
  </si>
  <si>
    <t>D1038</t>
  </si>
  <si>
    <t xml:space="preserve"> Chen Wei </t>
  </si>
  <si>
    <t>D1039</t>
  </si>
  <si>
    <t xml:space="preserve">PRIYA PATEL </t>
  </si>
  <si>
    <t>D1040</t>
  </si>
  <si>
    <t xml:space="preserve"> David Washington </t>
  </si>
  <si>
    <t>D1041</t>
  </si>
  <si>
    <t>D1042</t>
  </si>
  <si>
    <t>Priya Patel</t>
  </si>
  <si>
    <t>D1043</t>
  </si>
  <si>
    <t>D1044</t>
  </si>
  <si>
    <t>D1045</t>
  </si>
  <si>
    <t xml:space="preserve">JAMES O'BRIEN </t>
  </si>
  <si>
    <t>D1046</t>
  </si>
  <si>
    <t>D1047</t>
  </si>
  <si>
    <t>D1048</t>
  </si>
  <si>
    <t>Team</t>
  </si>
  <si>
    <t>Region</t>
  </si>
  <si>
    <t>North Team</t>
  </si>
  <si>
    <t>Hillsborough</t>
  </si>
  <si>
    <t>James O'Brien</t>
  </si>
  <si>
    <t>Waterfront Team</t>
  </si>
  <si>
    <t>Pinellas</t>
  </si>
  <si>
    <t>Pasco</t>
  </si>
  <si>
    <t>South Team</t>
  </si>
  <si>
    <t>Agent (clean)</t>
  </si>
  <si>
    <t>Weighted $</t>
  </si>
  <si>
    <t>Priority</t>
  </si>
  <si>
    <t>Weighted Pipeline</t>
  </si>
  <si>
    <t>Deals</t>
  </si>
  <si>
    <t>Avg Value</t>
  </si>
  <si>
    <t>Row Labels</t>
  </si>
  <si>
    <t>Grand Total</t>
  </si>
  <si>
    <t>Column Labels</t>
  </si>
  <si>
    <t>Sum of Weighted 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</si>
</sst>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44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[Whetstone_Excel_Skills.xlsx]Pivot!PivotTable1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Pivot!$B$3:$B$4</c:f>
              <c:strCache>
                <c:ptCount val="1"/>
                <c:pt idx="0">
                  <c:v>North Team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Pivot!$A$5:$A$12</c:f>
              <c:strCache>
                <c:ptCount val="7"/>
                <c:pt idx="0">
                  <c:v>Closed Lost</c:v>
                </c:pt>
                <c:pt idx="1">
                  <c:v>Closed Won</c:v>
                </c:pt>
                <c:pt idx="2">
                  <c:v>Lead</c:v>
                </c:pt>
                <c:pt idx="3">
                  <c:v>Offer</c:v>
                </c:pt>
                <c:pt idx="4">
                  <c:v>Qualified</c:v>
                </c:pt>
                <c:pt idx="5">
                  <c:v>Showing</c:v>
                </c:pt>
                <c:pt idx="6">
                  <c:v>Under Contract</c:v>
                </c:pt>
              </c:strCache>
            </c:strRef>
          </c:cat>
          <c:val>
            <c:numRef>
              <c:f>Pivot!$B$5:$B$12</c:f>
              <c:numCache>
                <c:formatCode>_("$"* #,##0.00_);_("$"* \(#,##0.00\);_("$"* "-"??_);_(@_)</c:formatCode>
                <c:ptCount val="7"/>
                <c:pt idx="0">
                  <c:v>0</c:v>
                </c:pt>
                <c:pt idx="1">
                  <c:v>2518000</c:v>
                </c:pt>
                <c:pt idx="2">
                  <c:v>91220</c:v>
                </c:pt>
                <c:pt idx="3">
                  <c:v>947750</c:v>
                </c:pt>
                <c:pt idx="4">
                  <c:v>450090</c:v>
                </c:pt>
                <c:pt idx="6">
                  <c:v>2134180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74-1E44-9C2C-C79318EF06BF}"/>
            </c:ext>
          </c:extLst>
        </c:ser>
        <c:ser>
          <c:idx val="1"/>
          <c:order val="1"/>
          <c:tx>
            <c:strRef>
              <c:f>Pivot!$C$3:$C$4</c:f>
              <c:strCache>
                <c:ptCount val="1"/>
                <c:pt idx="0">
                  <c:v>South Team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Pivot!$A$5:$A$12</c:f>
              <c:strCache>
                <c:ptCount val="7"/>
                <c:pt idx="0">
                  <c:v>Closed Lost</c:v>
                </c:pt>
                <c:pt idx="1">
                  <c:v>Closed Won</c:v>
                </c:pt>
                <c:pt idx="2">
                  <c:v>Lead</c:v>
                </c:pt>
                <c:pt idx="3">
                  <c:v>Offer</c:v>
                </c:pt>
                <c:pt idx="4">
                  <c:v>Qualified</c:v>
                </c:pt>
                <c:pt idx="5">
                  <c:v>Showing</c:v>
                </c:pt>
                <c:pt idx="6">
                  <c:v>Under Contract</c:v>
                </c:pt>
              </c:strCache>
            </c:strRef>
          </c:cat>
          <c:val>
            <c:numRef>
              <c:f>Pivot!$C$5:$C$12</c:f>
              <c:numCache>
                <c:formatCode>_("$"* #,##0.00_);_("$"* \(#,##0.00\);_("$"* "-"??_);_(@_)</c:formatCode>
                <c:ptCount val="7"/>
                <c:pt idx="1">
                  <c:v>1592000</c:v>
                </c:pt>
                <c:pt idx="2">
                  <c:v>23050</c:v>
                </c:pt>
                <c:pt idx="3">
                  <c:v>138650</c:v>
                </c:pt>
                <c:pt idx="4">
                  <c:v>178800</c:v>
                </c:pt>
                <c:pt idx="5">
                  <c:v>1231590</c:v>
                </c:pt>
                <c:pt idx="6">
                  <c:v>957480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74-1E44-9C2C-C79318EF06BF}"/>
            </c:ext>
          </c:extLst>
        </c:ser>
        <c:ser>
          <c:idx val="2"/>
          <c:order val="2"/>
          <c:tx>
            <c:strRef>
              <c:f>Pivot!$D$3:$D$4</c:f>
              <c:strCache>
                <c:ptCount val="1"/>
                <c:pt idx="0">
                  <c:v>Waterfront Team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Pivot!$A$5:$A$12</c:f>
              <c:strCache>
                <c:ptCount val="7"/>
                <c:pt idx="0">
                  <c:v>Closed Lost</c:v>
                </c:pt>
                <c:pt idx="1">
                  <c:v>Closed Won</c:v>
                </c:pt>
                <c:pt idx="2">
                  <c:v>Lead</c:v>
                </c:pt>
                <c:pt idx="3">
                  <c:v>Offer</c:v>
                </c:pt>
                <c:pt idx="4">
                  <c:v>Qualified</c:v>
                </c:pt>
                <c:pt idx="5">
                  <c:v>Showing</c:v>
                </c:pt>
                <c:pt idx="6">
                  <c:v>Under Contract</c:v>
                </c:pt>
              </c:strCache>
            </c:strRef>
          </c:cat>
          <c:val>
            <c:numRef>
              <c:f>Pivot!$D$5:$D$12</c:f>
              <c:numCache>
                <c:formatCode>_("$"* #,##0.00_);_("$"* \(#,##0.00\);_("$"* "-"??_);_(@_)</c:formatCode>
                <c:ptCount val="7"/>
                <c:pt idx="0">
                  <c:v>0</c:v>
                </c:pt>
                <c:pt idx="1">
                  <c:v>3273000</c:v>
                </c:pt>
                <c:pt idx="2">
                  <c:v>147660</c:v>
                </c:pt>
                <c:pt idx="3">
                  <c:v>484299.99999999994</c:v>
                </c:pt>
                <c:pt idx="4">
                  <c:v>433900.00000000006</c:v>
                </c:pt>
                <c:pt idx="5">
                  <c:v>91680</c:v>
                </c:pt>
                <c:pt idx="6">
                  <c:v>205140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C74-1E44-9C2C-C79318EF06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83309823"/>
        <c:axId val="1883315199"/>
      </c:barChart>
      <c:catAx>
        <c:axId val="1883309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3315199"/>
        <c:crosses val="autoZero"/>
        <c:auto val="1"/>
        <c:lblAlgn val="ctr"/>
        <c:lblOffset val="100"/>
        <c:noMultiLvlLbl val="0"/>
      </c:catAx>
      <c:valAx>
        <c:axId val="1883315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3309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Weighted Pipeline by Stage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Summary!$B$1</c:f>
              <c:strCache>
                <c:ptCount val="1"/>
                <c:pt idx="0">
                  <c:v>Weighted Pipeline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Summary!$A$2:$A$8</c:f>
              <c:strCache>
                <c:ptCount val="7"/>
                <c:pt idx="0">
                  <c:v>Lead</c:v>
                </c:pt>
                <c:pt idx="1">
                  <c:v>Qualified</c:v>
                </c:pt>
                <c:pt idx="2">
                  <c:v>Showing</c:v>
                </c:pt>
                <c:pt idx="3">
                  <c:v>Offer</c:v>
                </c:pt>
                <c:pt idx="4">
                  <c:v>Under Contract</c:v>
                </c:pt>
                <c:pt idx="5">
                  <c:v>Closed Won</c:v>
                </c:pt>
                <c:pt idx="6">
                  <c:v>Closed Lost</c:v>
                </c:pt>
              </c:strCache>
            </c:strRef>
          </c:cat>
          <c:val>
            <c:numRef>
              <c:f>Summary!$B$2:$B$8</c:f>
              <c:numCache>
                <c:formatCode>_("$"* #,##0.00_);_("$"* \(#,##0.00\);_("$"* "-"??_);_(@_)</c:formatCode>
                <c:ptCount val="7"/>
                <c:pt idx="0">
                  <c:v>261930</c:v>
                </c:pt>
                <c:pt idx="1">
                  <c:v>1062790</c:v>
                </c:pt>
                <c:pt idx="2">
                  <c:v>1323270</c:v>
                </c:pt>
                <c:pt idx="3">
                  <c:v>1570700</c:v>
                </c:pt>
                <c:pt idx="4">
                  <c:v>3296800</c:v>
                </c:pt>
                <c:pt idx="5">
                  <c:v>7383000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6E-D241-BFD6-A1E3F6FC67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23775871"/>
        <c:axId val="1861895039"/>
      </c:barChart>
      <c:catAx>
        <c:axId val="1723775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1895039"/>
        <c:crosses val="autoZero"/>
        <c:auto val="1"/>
        <c:lblAlgn val="ctr"/>
        <c:lblOffset val="100"/>
        <c:noMultiLvlLbl val="0"/>
      </c:catAx>
      <c:valAx>
        <c:axId val="1861895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37758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228600</xdr:colOff>
      <xdr:row>2</xdr:row>
      <xdr:rowOff>0</xdr:rowOff>
    </xdr:from>
    <xdr:to>
      <xdr:col>10</xdr:col>
      <xdr:colOff>673100</xdr:colOff>
      <xdr:row>15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AF92ACB-EB41-F284-B9E0-372F8A0CF6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11</xdr:row>
      <xdr:rowOff>12700</xdr:rowOff>
    </xdr:from>
    <xdr:to>
      <xdr:col>4</xdr:col>
      <xdr:colOff>25400</xdr:colOff>
      <xdr:row>24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F89702-12CC-6C6B-C8A8-5FFEC57C4F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n Whetstone" refreshedDate="46210.783962731482" createdVersion="8" refreshedVersion="8" minRefreshableVersion="3" recordCount="48" xr:uid="{77DF774B-FEA6-C646-B720-594170AA47E9}">
  <cacheSource type="worksheet">
    <worksheetSource ref="A1:N49" sheet="Deals"/>
  </cacheSource>
  <cacheFields count="14">
    <cacheField name="DealID" numFmtId="0">
      <sharedItems/>
    </cacheField>
    <cacheField name="Agent" numFmtId="0">
      <sharedItems/>
    </cacheField>
    <cacheField name="City" numFmtId="0">
      <sharedItems/>
    </cacheField>
    <cacheField name="Stage" numFmtId="0">
      <sharedItems count="7">
        <s v="Lead"/>
        <s v="Under Contract"/>
        <s v="Qualified"/>
        <s v="Closed Won"/>
        <s v="Offer"/>
        <s v="Closed Lost"/>
        <s v="Showing"/>
      </sharedItems>
    </cacheField>
    <cacheField name="Value" numFmtId="0">
      <sharedItems containsSemiMixedTypes="0" containsString="0" containsNumber="1" containsInteger="1" minValue="191000" maxValue="845000"/>
    </cacheField>
    <cacheField name="Probability" numFmtId="0">
      <sharedItems containsSemiMixedTypes="0" containsString="0" containsNumber="1" minValue="0" maxValue="1"/>
    </cacheField>
    <cacheField name="CreatedDate" numFmtId="14">
      <sharedItems containsSemiMixedTypes="0" containsNonDate="0" containsDate="1" containsString="0" minDate="2026-01-18T00:00:00" maxDate="2026-06-16T00:00:00"/>
    </cacheField>
    <cacheField name="CloseDate" numFmtId="14">
      <sharedItems containsNonDate="0" containsDate="1" containsString="0" containsBlank="1" minDate="2026-03-02T00:00:00" maxDate="2026-08-19T00:00:00"/>
    </cacheField>
    <cacheField name="LastActivityDate" numFmtId="14">
      <sharedItems containsSemiMixedTypes="0" containsNonDate="0" containsDate="1" containsString="0" minDate="2026-03-02T00:00:00" maxDate="2026-08-19T00:00:00"/>
    </cacheField>
    <cacheField name="ActivityCount" numFmtId="0">
      <sharedItems containsSemiMixedTypes="0" containsString="0" containsNumber="1" containsInteger="1" minValue="1" maxValue="38"/>
    </cacheField>
    <cacheField name="Agent (clean)" numFmtId="0">
      <sharedItems/>
    </cacheField>
    <cacheField name="Weighted $" numFmtId="44">
      <sharedItems containsSemiMixedTypes="0" containsString="0" containsNumber="1" minValue="0" maxValue="843000"/>
    </cacheField>
    <cacheField name="Team" numFmtId="0">
      <sharedItems count="3">
        <s v="South Team"/>
        <s v="North Team"/>
        <s v="Waterfront Team"/>
      </sharedItems>
    </cacheField>
    <cacheField name="Priorit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s v="D1001"/>
    <s v="  sofia rossi"/>
    <s v="Tampa"/>
    <x v="0"/>
    <n v="461000"/>
    <n v="0.05"/>
    <d v="2026-04-16T00:00:00"/>
    <m/>
    <d v="2026-06-22T00:00:00"/>
    <n v="35"/>
    <s v="Sofia Rossi"/>
    <n v="23050"/>
    <x v="0"/>
    <s v="Low"/>
  </r>
  <r>
    <s v="D1002"/>
    <s v="  maria garcia"/>
    <s v="Riverview"/>
    <x v="1"/>
    <n v="210000"/>
    <n v="0.84"/>
    <d v="2026-05-25T00:00:00"/>
    <m/>
    <d v="2026-06-23T00:00:00"/>
    <n v="2"/>
    <s v="Maria Garcia"/>
    <n v="176400"/>
    <x v="1"/>
    <s v="High"/>
  </r>
  <r>
    <s v="D1003"/>
    <s v="CHEN WEI "/>
    <s v="Clearwater"/>
    <x v="2"/>
    <n v="738000"/>
    <n v="0.28000000000000003"/>
    <d v="2026-03-02T00:00:00"/>
    <m/>
    <d v="2026-06-22T00:00:00"/>
    <n v="1"/>
    <s v="Chen Wei"/>
    <n v="206640.00000000003"/>
    <x v="2"/>
    <s v="Low"/>
  </r>
  <r>
    <s v="D1004"/>
    <s v="  james o'brien"/>
    <s v="Largo"/>
    <x v="3"/>
    <n v="612000"/>
    <n v="1"/>
    <d v="2026-03-22T00:00:00"/>
    <d v="2026-05-08T00:00:00"/>
    <d v="2026-05-08T00:00:00"/>
    <n v="22"/>
    <s v="James O'Brien"/>
    <n v="612000"/>
    <x v="2"/>
    <s v="High"/>
  </r>
  <r>
    <s v="D1005"/>
    <s v="  maria garcia"/>
    <s v="Tampa"/>
    <x v="0"/>
    <n v="547000"/>
    <n v="0.08"/>
    <d v="2026-03-21T00:00:00"/>
    <m/>
    <d v="2026-05-29T00:00:00"/>
    <n v="30"/>
    <s v="Maria Garcia"/>
    <n v="43760"/>
    <x v="1"/>
    <s v="Low"/>
  </r>
  <r>
    <s v="D1006"/>
    <s v="  chen wei"/>
    <s v="Wesley Chapel"/>
    <x v="0"/>
    <n v="567000"/>
    <n v="0.18"/>
    <d v="2026-05-28T00:00:00"/>
    <m/>
    <d v="2026-06-01T00:00:00"/>
    <n v="24"/>
    <s v="Chen Wei"/>
    <n v="102060"/>
    <x v="2"/>
    <s v="Low"/>
  </r>
  <r>
    <s v="D1007"/>
    <s v="  chen wei"/>
    <s v="Tampa"/>
    <x v="2"/>
    <n v="226000"/>
    <n v="0.28000000000000003"/>
    <d v="2026-04-20T00:00:00"/>
    <m/>
    <d v="2026-05-18T00:00:00"/>
    <n v="15"/>
    <s v="Chen Wei"/>
    <n v="63280.000000000007"/>
    <x v="2"/>
    <s v="Low"/>
  </r>
  <r>
    <s v="D1008"/>
    <s v="MARIA GARCIA "/>
    <s v="St. Petersburg"/>
    <x v="4"/>
    <n v="830000"/>
    <n v="0.56000000000000005"/>
    <d v="2026-03-16T00:00:00"/>
    <m/>
    <d v="2026-06-26T00:00:00"/>
    <n v="18"/>
    <s v="Maria Garcia"/>
    <n v="464800.00000000006"/>
    <x v="1"/>
    <s v="Medium"/>
  </r>
  <r>
    <s v="D1009"/>
    <s v=" Sofia Rossi "/>
    <s v="Riverview"/>
    <x v="3"/>
    <n v="843000"/>
    <n v="1"/>
    <d v="2026-05-30T00:00:00"/>
    <d v="2026-08-06T00:00:00"/>
    <d v="2026-08-06T00:00:00"/>
    <n v="16"/>
    <s v="Sofia Rossi"/>
    <n v="843000"/>
    <x v="0"/>
    <s v="High"/>
  </r>
  <r>
    <s v="D1010"/>
    <s v=" James O'Brien "/>
    <s v="Largo"/>
    <x v="4"/>
    <n v="835000"/>
    <n v="0.57999999999999996"/>
    <d v="2026-01-26T00:00:00"/>
    <m/>
    <d v="2026-06-22T00:00:00"/>
    <n v="4"/>
    <s v="James O'Brien"/>
    <n v="484299.99999999994"/>
    <x v="2"/>
    <s v="Medium"/>
  </r>
  <r>
    <s v="D1011"/>
    <s v="  james o'brien"/>
    <s v="St. Petersburg"/>
    <x v="5"/>
    <n v="212000"/>
    <n v="0"/>
    <d v="2026-03-29T00:00:00"/>
    <d v="2026-05-23T00:00:00"/>
    <d v="2026-05-23T00:00:00"/>
    <n v="37"/>
    <s v="James O'Brien"/>
    <n v="0"/>
    <x v="2"/>
    <s v="Low"/>
  </r>
  <r>
    <s v="D1012"/>
    <s v="SOFIA ROSSI "/>
    <s v="Clearwater"/>
    <x v="6"/>
    <n v="691000"/>
    <n v="0.35"/>
    <d v="2026-03-08T00:00:00"/>
    <m/>
    <d v="2026-05-26T00:00:00"/>
    <n v="9"/>
    <s v="Sofia Rossi"/>
    <n v="241849.99999999997"/>
    <x v="0"/>
    <s v="Low"/>
  </r>
  <r>
    <s v="D1013"/>
    <s v="james o'brien"/>
    <s v="Brandon"/>
    <x v="3"/>
    <n v="754000"/>
    <n v="1"/>
    <d v="2026-01-31T00:00:00"/>
    <d v="2026-03-18T00:00:00"/>
    <d v="2026-03-18T00:00:00"/>
    <n v="38"/>
    <s v="James O'Brien"/>
    <n v="754000"/>
    <x v="2"/>
    <s v="High"/>
  </r>
  <r>
    <s v="D1014"/>
    <s v="  david washington"/>
    <s v="Tampa"/>
    <x v="6"/>
    <n v="321000"/>
    <n v="0.36"/>
    <d v="2026-02-07T00:00:00"/>
    <m/>
    <d v="2026-06-05T00:00:00"/>
    <n v="8"/>
    <s v="David Washington"/>
    <n v="115560"/>
    <x v="0"/>
    <s v="Low"/>
  </r>
  <r>
    <s v="D1015"/>
    <s v="  james o'brien"/>
    <s v="Brandon"/>
    <x v="3"/>
    <n v="343000"/>
    <n v="1"/>
    <d v="2026-03-01T00:00:00"/>
    <d v="2026-05-08T00:00:00"/>
    <d v="2026-05-08T00:00:00"/>
    <n v="30"/>
    <s v="James O'Brien"/>
    <n v="343000"/>
    <x v="2"/>
    <s v="High"/>
  </r>
  <r>
    <s v="D1016"/>
    <s v="Chen Wei"/>
    <s v="Largo"/>
    <x v="6"/>
    <n v="191000"/>
    <n v="0.48"/>
    <d v="2026-05-19T00:00:00"/>
    <m/>
    <d v="2026-05-24T00:00:00"/>
    <n v="18"/>
    <s v="Chen Wei"/>
    <n v="91680"/>
    <x v="2"/>
    <s v="Medium"/>
  </r>
  <r>
    <s v="D1017"/>
    <s v="  sofia rossi"/>
    <s v="Wesley Chapel"/>
    <x v="6"/>
    <n v="625000"/>
    <n v="0.34"/>
    <d v="2026-05-08T00:00:00"/>
    <m/>
    <d v="2026-06-07T00:00:00"/>
    <n v="17"/>
    <s v="Sofia Rossi"/>
    <n v="212500.00000000003"/>
    <x v="0"/>
    <s v="Low"/>
  </r>
  <r>
    <s v="D1018"/>
    <s v="  chen wei"/>
    <s v="Wesley Chapel"/>
    <x v="5"/>
    <n v="362000"/>
    <n v="0"/>
    <d v="2026-02-08T00:00:00"/>
    <d v="2026-05-07T00:00:00"/>
    <d v="2026-05-07T00:00:00"/>
    <n v="20"/>
    <s v="Chen Wei"/>
    <n v="0"/>
    <x v="2"/>
    <s v="Low"/>
  </r>
  <r>
    <s v="D1019"/>
    <s v="  sofia rossi"/>
    <s v="Largo"/>
    <x v="1"/>
    <n v="336000"/>
    <n v="0.87"/>
    <d v="2026-03-14T00:00:00"/>
    <m/>
    <d v="2026-05-19T00:00:00"/>
    <n v="34"/>
    <s v="Sofia Rossi"/>
    <n v="292320"/>
    <x v="0"/>
    <s v="High"/>
  </r>
  <r>
    <s v="D1020"/>
    <s v="Maria Garcia"/>
    <s v="Largo"/>
    <x v="1"/>
    <n v="199000"/>
    <n v="0.82"/>
    <d v="2026-05-20T00:00:00"/>
    <m/>
    <d v="2026-06-13T00:00:00"/>
    <n v="20"/>
    <s v="Maria Garcia"/>
    <n v="163180"/>
    <x v="1"/>
    <s v="High"/>
  </r>
  <r>
    <s v="D1021"/>
    <s v="james o'brien"/>
    <s v="Largo"/>
    <x v="0"/>
    <n v="760000"/>
    <n v="0.06"/>
    <d v="2026-05-28T00:00:00"/>
    <m/>
    <d v="2026-07-01T00:00:00"/>
    <n v="5"/>
    <s v="James O'Brien"/>
    <n v="45600"/>
    <x v="2"/>
    <s v="Low"/>
  </r>
  <r>
    <s v="D1022"/>
    <s v="CHEN WEI "/>
    <s v="Riverview"/>
    <x v="5"/>
    <n v="308000"/>
    <n v="0"/>
    <d v="2026-05-16T00:00:00"/>
    <d v="2026-07-27T00:00:00"/>
    <d v="2026-07-27T00:00:00"/>
    <n v="11"/>
    <s v="Chen Wei"/>
    <n v="0"/>
    <x v="2"/>
    <s v="Low"/>
  </r>
  <r>
    <s v="D1023"/>
    <s v="priya patel"/>
    <s v="Wesley Chapel"/>
    <x v="1"/>
    <n v="613000"/>
    <n v="0.91"/>
    <d v="2026-04-24T00:00:00"/>
    <m/>
    <d v="2026-06-02T00:00:00"/>
    <n v="13"/>
    <s v="Priya Patel"/>
    <n v="557830"/>
    <x v="1"/>
    <s v="High"/>
  </r>
  <r>
    <s v="D1024"/>
    <s v="Sofia Rossi"/>
    <s v="Brandon"/>
    <x v="6"/>
    <n v="845000"/>
    <n v="0.38"/>
    <d v="2026-03-14T00:00:00"/>
    <m/>
    <d v="2026-06-08T00:00:00"/>
    <n v="8"/>
    <s v="Sofia Rossi"/>
    <n v="321100"/>
    <x v="0"/>
    <s v="Low"/>
  </r>
  <r>
    <s v="D1025"/>
    <s v="  james o'brien"/>
    <s v="St. Petersburg"/>
    <x v="2"/>
    <n v="201000"/>
    <n v="0.18"/>
    <d v="2026-01-18T00:00:00"/>
    <m/>
    <d v="2026-06-01T00:00:00"/>
    <n v="1"/>
    <s v="James O'Brien"/>
    <n v="36180"/>
    <x v="2"/>
    <s v="Low"/>
  </r>
  <r>
    <s v="D1026"/>
    <s v="  maria garcia"/>
    <s v="Tampa"/>
    <x v="3"/>
    <n v="826000"/>
    <n v="1"/>
    <d v="2026-06-02T00:00:00"/>
    <d v="2026-07-16T00:00:00"/>
    <d v="2026-07-16T00:00:00"/>
    <n v="22"/>
    <s v="Maria Garcia"/>
    <n v="826000"/>
    <x v="1"/>
    <s v="High"/>
  </r>
  <r>
    <s v="D1027"/>
    <s v="  maria garcia"/>
    <s v="Riverview"/>
    <x v="1"/>
    <n v="677000"/>
    <n v="0.81"/>
    <d v="2026-04-24T00:00:00"/>
    <m/>
    <d v="2026-06-02T00:00:00"/>
    <n v="37"/>
    <s v="Maria Garcia"/>
    <n v="548370"/>
    <x v="1"/>
    <s v="High"/>
  </r>
  <r>
    <s v="D1028"/>
    <s v="  david washington"/>
    <s v="Brandon"/>
    <x v="2"/>
    <n v="596000"/>
    <n v="0.3"/>
    <d v="2026-04-30T00:00:00"/>
    <m/>
    <d v="2026-06-30T00:00:00"/>
    <n v="23"/>
    <s v="David Washington"/>
    <n v="178800"/>
    <x v="0"/>
    <s v="Low"/>
  </r>
  <r>
    <s v="D1029"/>
    <s v="DAVID WASHINGTON "/>
    <s v="Clearwater"/>
    <x v="4"/>
    <n v="235000"/>
    <n v="0.59"/>
    <d v="2026-05-23T00:00:00"/>
    <m/>
    <d v="2026-07-03T00:00:00"/>
    <n v="7"/>
    <s v="David Washington"/>
    <n v="138650"/>
    <x v="0"/>
    <s v="Medium"/>
  </r>
  <r>
    <s v="D1030"/>
    <s v="  james o'brien"/>
    <s v="Brandon"/>
    <x v="2"/>
    <n v="639000"/>
    <n v="0.2"/>
    <d v="2026-05-13T00:00:00"/>
    <m/>
    <d v="2026-06-09T00:00:00"/>
    <n v="16"/>
    <s v="James O'Brien"/>
    <n v="127800"/>
    <x v="2"/>
    <s v="Low"/>
  </r>
  <r>
    <s v="D1031"/>
    <s v=" Maria Garcia "/>
    <s v="Riverview"/>
    <x v="4"/>
    <n v="743000"/>
    <n v="0.65"/>
    <d v="2026-05-23T00:00:00"/>
    <m/>
    <d v="2026-07-03T00:00:00"/>
    <n v="1"/>
    <s v="Maria Garcia"/>
    <n v="482950"/>
    <x v="1"/>
    <s v="Medium"/>
  </r>
  <r>
    <s v="D1032"/>
    <s v="MARIA GARCIA "/>
    <s v="St. Petersburg"/>
    <x v="5"/>
    <n v="422000"/>
    <n v="0"/>
    <d v="2026-05-06T00:00:00"/>
    <d v="2026-07-01T00:00:00"/>
    <d v="2026-07-01T00:00:00"/>
    <n v="26"/>
    <s v="Maria Garcia"/>
    <n v="0"/>
    <x v="1"/>
    <s v="Low"/>
  </r>
  <r>
    <s v="D1033"/>
    <s v="Maria Garcia"/>
    <s v="Clearwater"/>
    <x v="2"/>
    <n v="579000"/>
    <n v="0.23"/>
    <d v="2026-04-11T00:00:00"/>
    <m/>
    <d v="2026-05-17T00:00:00"/>
    <n v="28"/>
    <s v="Maria Garcia"/>
    <n v="133170"/>
    <x v="1"/>
    <s v="Low"/>
  </r>
  <r>
    <s v="D1034"/>
    <s v="  sofia rossi"/>
    <s v="St. Petersburg"/>
    <x v="3"/>
    <n v="749000"/>
    <n v="1"/>
    <d v="2026-02-13T00:00:00"/>
    <d v="2026-03-24T00:00:00"/>
    <d v="2026-03-24T00:00:00"/>
    <n v="4"/>
    <s v="Sofia Rossi"/>
    <n v="749000"/>
    <x v="0"/>
    <s v="High"/>
  </r>
  <r>
    <s v="D1035"/>
    <s v="CHEN WEI "/>
    <s v="Tampa"/>
    <x v="3"/>
    <n v="735000"/>
    <n v="1"/>
    <d v="2026-06-02T00:00:00"/>
    <d v="2026-08-18T00:00:00"/>
    <d v="2026-08-18T00:00:00"/>
    <n v="38"/>
    <s v="Chen Wei"/>
    <n v="735000"/>
    <x v="2"/>
    <s v="High"/>
  </r>
  <r>
    <s v="D1036"/>
    <s v="David Washington"/>
    <s v="Tampa"/>
    <x v="1"/>
    <n v="723000"/>
    <n v="0.92"/>
    <d v="2026-05-08T00:00:00"/>
    <m/>
    <d v="2026-07-03T00:00:00"/>
    <n v="12"/>
    <s v="David Washington"/>
    <n v="665160"/>
    <x v="0"/>
    <s v="High"/>
  </r>
  <r>
    <s v="D1037"/>
    <s v="Maria Garcia"/>
    <s v="Riverview"/>
    <x v="1"/>
    <n v="420000"/>
    <n v="0.78"/>
    <d v="2026-03-06T00:00:00"/>
    <m/>
    <d v="2026-06-29T00:00:00"/>
    <n v="16"/>
    <s v="Maria Garcia"/>
    <n v="327600"/>
    <x v="1"/>
    <s v="High"/>
  </r>
  <r>
    <s v="D1038"/>
    <s v=" Chen Wei "/>
    <s v="Riverview"/>
    <x v="1"/>
    <n v="263000"/>
    <n v="0.78"/>
    <d v="2026-03-02T00:00:00"/>
    <m/>
    <d v="2026-05-25T00:00:00"/>
    <n v="21"/>
    <s v="Chen Wei"/>
    <n v="205140"/>
    <x v="2"/>
    <s v="High"/>
  </r>
  <r>
    <s v="D1039"/>
    <s v="PRIYA PATEL "/>
    <s v="Wesley Chapel"/>
    <x v="2"/>
    <n v="501000"/>
    <n v="0.28000000000000003"/>
    <d v="2026-04-17T00:00:00"/>
    <m/>
    <d v="2026-06-20T00:00:00"/>
    <n v="20"/>
    <s v="Priya Patel"/>
    <n v="140280"/>
    <x v="1"/>
    <s v="Low"/>
  </r>
  <r>
    <s v="D1040"/>
    <s v=" David Washington "/>
    <s v="Riverview"/>
    <x v="6"/>
    <n v="254000"/>
    <n v="0.47"/>
    <d v="2026-06-15T00:00:00"/>
    <m/>
    <d v="2026-06-07T00:00:00"/>
    <n v="7"/>
    <s v="David Washington"/>
    <n v="119380"/>
    <x v="0"/>
    <s v="Medium"/>
  </r>
  <r>
    <s v="D1041"/>
    <s v="Maria Garcia"/>
    <s v="St. Petersburg"/>
    <x v="1"/>
    <n v="451000"/>
    <n v="0.8"/>
    <d v="2026-05-15T00:00:00"/>
    <m/>
    <d v="2026-06-14T00:00:00"/>
    <n v="24"/>
    <s v="Maria Garcia"/>
    <n v="360800"/>
    <x v="1"/>
    <s v="High"/>
  </r>
  <r>
    <s v="D1042"/>
    <s v="priya patel"/>
    <s v="Largo"/>
    <x v="2"/>
    <n v="736000"/>
    <n v="0.24"/>
    <d v="2026-04-01T00:00:00"/>
    <m/>
    <d v="2026-05-28T00:00:00"/>
    <n v="34"/>
    <s v="Priya Patel"/>
    <n v="176640"/>
    <x v="1"/>
    <s v="Low"/>
  </r>
  <r>
    <s v="D1043"/>
    <s v=" Maria Garcia "/>
    <s v="St. Petersburg"/>
    <x v="3"/>
    <n v="747000"/>
    <n v="1"/>
    <d v="2026-04-02T00:00:00"/>
    <d v="2026-06-30T00:00:00"/>
    <d v="2026-06-30T00:00:00"/>
    <n v="17"/>
    <s v="Maria Garcia"/>
    <n v="747000"/>
    <x v="1"/>
    <s v="High"/>
  </r>
  <r>
    <s v="D1044"/>
    <s v=" Maria Garcia "/>
    <s v="Wesley Chapel"/>
    <x v="0"/>
    <n v="339000"/>
    <n v="0.14000000000000001"/>
    <d v="2026-04-09T00:00:00"/>
    <m/>
    <d v="2026-06-18T00:00:00"/>
    <n v="22"/>
    <s v="Maria Garcia"/>
    <n v="47460.000000000007"/>
    <x v="1"/>
    <s v="Low"/>
  </r>
  <r>
    <s v="D1045"/>
    <s v="JAMES O'BRIEN "/>
    <s v="Largo"/>
    <x v="3"/>
    <n v="829000"/>
    <n v="1"/>
    <d v="2026-04-11T00:00:00"/>
    <d v="2026-06-12T00:00:00"/>
    <d v="2026-06-12T00:00:00"/>
    <n v="4"/>
    <s v="James O'Brien"/>
    <n v="829000"/>
    <x v="2"/>
    <s v="High"/>
  </r>
  <r>
    <s v="D1046"/>
    <s v="  maria garcia"/>
    <s v="Largo"/>
    <x v="3"/>
    <n v="613000"/>
    <n v="1"/>
    <d v="2026-04-08T00:00:00"/>
    <d v="2026-05-10T00:00:00"/>
    <d v="2026-05-10T00:00:00"/>
    <n v="9"/>
    <s v="Maria Garcia"/>
    <n v="613000"/>
    <x v="1"/>
    <s v="High"/>
  </r>
  <r>
    <s v="D1047"/>
    <s v="SOFIA ROSSI "/>
    <s v="Tampa"/>
    <x v="6"/>
    <n v="632000"/>
    <n v="0.35"/>
    <d v="2026-01-27T00:00:00"/>
    <m/>
    <d v="2026-05-22T00:00:00"/>
    <n v="8"/>
    <s v="Sofia Rossi"/>
    <n v="221200"/>
    <x v="0"/>
    <s v="Low"/>
  </r>
  <r>
    <s v="D1048"/>
    <s v="Maria Garcia"/>
    <s v="Riverview"/>
    <x v="3"/>
    <n v="332000"/>
    <n v="1"/>
    <d v="2026-01-29T00:00:00"/>
    <d v="2026-03-02T00:00:00"/>
    <d v="2026-03-02T00:00:00"/>
    <n v="36"/>
    <s v="Maria Garcia"/>
    <n v="332000"/>
    <x v="1"/>
    <s v="High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6B5A52-CDB8-8D4B-96A4-8F8C21A6330A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E12" firstHeaderRow="1" firstDataRow="2" firstDataCol="1"/>
  <pivotFields count="14">
    <pivotField showAll="0"/>
    <pivotField showAll="0"/>
    <pivotField showAll="0"/>
    <pivotField axis="axisRow" showAll="0">
      <items count="8">
        <item x="5"/>
        <item x="3"/>
        <item x="0"/>
        <item x="4"/>
        <item x="2"/>
        <item x="6"/>
        <item x="1"/>
        <item t="default"/>
      </items>
    </pivotField>
    <pivotField showAll="0"/>
    <pivotField showAll="0"/>
    <pivotField numFmtId="14" showAll="0"/>
    <pivotField showAll="0"/>
    <pivotField numFmtId="14" showAll="0"/>
    <pivotField showAll="0"/>
    <pivotField showAll="0"/>
    <pivotField dataField="1" numFmtId="44" showAll="0"/>
    <pivotField axis="axisCol" showAll="0">
      <items count="4">
        <item x="1"/>
        <item x="0"/>
        <item x="2"/>
        <item t="default"/>
      </items>
    </pivotField>
    <pivotField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2"/>
  </colFields>
  <colItems count="4">
    <i>
      <x/>
    </i>
    <i>
      <x v="1"/>
    </i>
    <i>
      <x v="2"/>
    </i>
    <i t="grand">
      <x/>
    </i>
  </colItems>
  <dataFields count="1">
    <dataField name="Sum of Weighted $" fld="11" baseField="0" baseItem="0" numFmtId="44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64938-6504-8E4F-AED2-FFC336EC414F}">
  <dimension ref="A3:E12"/>
  <sheetViews>
    <sheetView tabSelected="1" workbookViewId="0">
      <selection activeCell="C8" sqref="C8"/>
    </sheetView>
  </sheetViews>
  <sheetFormatPr baseColWidth="10" defaultRowHeight="16" x14ac:dyDescent="0.2"/>
  <cols>
    <col min="1" max="1" width="16.5" bestFit="1" customWidth="1"/>
    <col min="2" max="2" width="16" bestFit="1" customWidth="1"/>
    <col min="3" max="3" width="14" bestFit="1" customWidth="1"/>
    <col min="4" max="5" width="15" bestFit="1" customWidth="1"/>
  </cols>
  <sheetData>
    <row r="3" spans="1:5" x14ac:dyDescent="0.2">
      <c r="A3" s="3" t="s">
        <v>114</v>
      </c>
      <c r="B3" s="3" t="s">
        <v>113</v>
      </c>
    </row>
    <row r="4" spans="1:5" x14ac:dyDescent="0.2">
      <c r="A4" s="3" t="s">
        <v>111</v>
      </c>
      <c r="B4" t="s">
        <v>98</v>
      </c>
      <c r="C4" t="s">
        <v>104</v>
      </c>
      <c r="D4" t="s">
        <v>101</v>
      </c>
      <c r="E4" t="s">
        <v>112</v>
      </c>
    </row>
    <row r="5" spans="1:5" x14ac:dyDescent="0.2">
      <c r="A5" s="4" t="s">
        <v>40</v>
      </c>
      <c r="B5" s="5">
        <v>0</v>
      </c>
      <c r="C5" s="5"/>
      <c r="D5" s="5">
        <v>0</v>
      </c>
      <c r="E5" s="5">
        <v>0</v>
      </c>
    </row>
    <row r="6" spans="1:5" x14ac:dyDescent="0.2">
      <c r="A6" s="4" t="s">
        <v>25</v>
      </c>
      <c r="B6" s="5">
        <v>2518000</v>
      </c>
      <c r="C6" s="5">
        <v>1592000</v>
      </c>
      <c r="D6" s="5">
        <v>3273000</v>
      </c>
      <c r="E6" s="5">
        <v>7383000</v>
      </c>
    </row>
    <row r="7" spans="1:5" x14ac:dyDescent="0.2">
      <c r="A7" s="4" t="s">
        <v>13</v>
      </c>
      <c r="B7" s="5">
        <v>91220</v>
      </c>
      <c r="C7" s="5">
        <v>23050</v>
      </c>
      <c r="D7" s="5">
        <v>147660</v>
      </c>
      <c r="E7" s="5">
        <v>261930</v>
      </c>
    </row>
    <row r="8" spans="1:5" x14ac:dyDescent="0.2">
      <c r="A8" s="4" t="s">
        <v>34</v>
      </c>
      <c r="B8" s="5">
        <v>947750</v>
      </c>
      <c r="C8" s="5">
        <v>138650</v>
      </c>
      <c r="D8" s="5">
        <v>484299.99999999994</v>
      </c>
      <c r="E8" s="5">
        <v>1570700</v>
      </c>
    </row>
    <row r="9" spans="1:5" x14ac:dyDescent="0.2">
      <c r="A9" s="4" t="s">
        <v>21</v>
      </c>
      <c r="B9" s="5">
        <v>450090</v>
      </c>
      <c r="C9" s="5">
        <v>178800</v>
      </c>
      <c r="D9" s="5">
        <v>433900.00000000006</v>
      </c>
      <c r="E9" s="5">
        <v>1062790</v>
      </c>
    </row>
    <row r="10" spans="1:5" x14ac:dyDescent="0.2">
      <c r="A10" s="4" t="s">
        <v>43</v>
      </c>
      <c r="B10" s="5"/>
      <c r="C10" s="5">
        <v>1231590</v>
      </c>
      <c r="D10" s="5">
        <v>91680</v>
      </c>
      <c r="E10" s="5">
        <v>1323270</v>
      </c>
    </row>
    <row r="11" spans="1:5" x14ac:dyDescent="0.2">
      <c r="A11" s="4" t="s">
        <v>17</v>
      </c>
      <c r="B11" s="5">
        <v>2134180</v>
      </c>
      <c r="C11" s="5">
        <v>957480</v>
      </c>
      <c r="D11" s="5">
        <v>205140</v>
      </c>
      <c r="E11" s="5">
        <v>3296800</v>
      </c>
    </row>
    <row r="12" spans="1:5" x14ac:dyDescent="0.2">
      <c r="A12" s="4" t="s">
        <v>112</v>
      </c>
      <c r="B12" s="5">
        <v>6141240</v>
      </c>
      <c r="C12" s="5">
        <v>4121570</v>
      </c>
      <c r="D12" s="5">
        <v>4635680</v>
      </c>
      <c r="E12" s="5">
        <v>14898490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6B281-0988-AC48-873A-E153FBF3EDCE}">
  <dimension ref="A1:N52"/>
  <sheetViews>
    <sheetView workbookViewId="0">
      <selection activeCell="P15" sqref="P15"/>
    </sheetView>
  </sheetViews>
  <sheetFormatPr baseColWidth="10" defaultRowHeight="16" x14ac:dyDescent="0.2"/>
  <cols>
    <col min="1" max="1" width="6.83203125" bestFit="1" customWidth="1"/>
    <col min="2" max="2" width="18.83203125" bestFit="1" customWidth="1"/>
    <col min="3" max="3" width="13.1640625" bestFit="1" customWidth="1"/>
    <col min="4" max="4" width="13.6640625" bestFit="1" customWidth="1"/>
    <col min="5" max="5" width="7.1640625" bestFit="1" customWidth="1"/>
    <col min="6" max="6" width="9.83203125" bestFit="1" customWidth="1"/>
    <col min="7" max="7" width="11.83203125" style="1" bestFit="1" customWidth="1"/>
    <col min="8" max="8" width="9.83203125" style="1" bestFit="1" customWidth="1"/>
    <col min="9" max="9" width="14.5" style="1" bestFit="1" customWidth="1"/>
    <col min="10" max="10" width="12.1640625" bestFit="1" customWidth="1"/>
    <col min="11" max="11" width="15.6640625" bestFit="1" customWidth="1"/>
    <col min="12" max="12" width="12.5" bestFit="1" customWidth="1"/>
    <col min="13" max="13" width="14.6640625" bestFit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s="1" t="s">
        <v>105</v>
      </c>
      <c r="L1" s="1" t="s">
        <v>106</v>
      </c>
      <c r="M1" s="1" t="s">
        <v>96</v>
      </c>
      <c r="N1" s="1" t="s">
        <v>107</v>
      </c>
    </row>
    <row r="2" spans="1:14" x14ac:dyDescent="0.2">
      <c r="A2" t="s">
        <v>10</v>
      </c>
      <c r="B2" t="s">
        <v>11</v>
      </c>
      <c r="C2" t="s">
        <v>12</v>
      </c>
      <c r="D2" t="s">
        <v>13</v>
      </c>
      <c r="E2">
        <v>461000</v>
      </c>
      <c r="F2">
        <v>0.05</v>
      </c>
      <c r="G2" s="1">
        <v>46128</v>
      </c>
      <c r="I2" s="1">
        <v>46195</v>
      </c>
      <c r="J2">
        <v>35</v>
      </c>
      <c r="K2" t="str">
        <f>TRIM(PROPER(B2))</f>
        <v>Sofia Rossi</v>
      </c>
      <c r="L2" s="2">
        <f>E2*F2</f>
        <v>23050</v>
      </c>
      <c r="M2" t="str">
        <f>_xlfn.XLOOKUP(K2,Agents!A:A,Agents!B:B,"-")</f>
        <v>South Team</v>
      </c>
      <c r="N2" t="str" cm="1">
        <f t="array" ref="N2">_xlfn.IFS(F2&gt;=0.7,"High", F2&gt;=0.4,"Medium", TRUE,"Low")</f>
        <v>Low</v>
      </c>
    </row>
    <row r="3" spans="1:14" x14ac:dyDescent="0.2">
      <c r="A3" t="s">
        <v>14</v>
      </c>
      <c r="B3" t="s">
        <v>15</v>
      </c>
      <c r="C3" t="s">
        <v>16</v>
      </c>
      <c r="D3" t="s">
        <v>17</v>
      </c>
      <c r="E3">
        <v>210000</v>
      </c>
      <c r="F3">
        <v>0.84</v>
      </c>
      <c r="G3" s="1">
        <v>46167</v>
      </c>
      <c r="I3" s="1">
        <v>46196</v>
      </c>
      <c r="J3">
        <v>2</v>
      </c>
      <c r="K3" t="str">
        <f t="shared" ref="K3:K49" si="0">TRIM(PROPER(B3))</f>
        <v>Maria Garcia</v>
      </c>
      <c r="L3" s="2">
        <f t="shared" ref="L3:L49" si="1">E3*F3</f>
        <v>176400</v>
      </c>
      <c r="M3" t="str">
        <f>_xlfn.XLOOKUP(K3,Agents!A:A,Agents!B:B,"-")</f>
        <v>North Team</v>
      </c>
      <c r="N3" t="str" cm="1">
        <f t="array" ref="N3">_xlfn.IFS(F3&gt;=0.7,"High", F3&gt;=0.4,"Medium", TRUE,"Low")</f>
        <v>High</v>
      </c>
    </row>
    <row r="4" spans="1:14" x14ac:dyDescent="0.2">
      <c r="A4" t="s">
        <v>18</v>
      </c>
      <c r="B4" t="s">
        <v>19</v>
      </c>
      <c r="C4" t="s">
        <v>20</v>
      </c>
      <c r="D4" t="s">
        <v>21</v>
      </c>
      <c r="E4">
        <v>738000</v>
      </c>
      <c r="F4">
        <v>0.28000000000000003</v>
      </c>
      <c r="G4" s="1">
        <v>46083</v>
      </c>
      <c r="I4" s="1">
        <v>46195</v>
      </c>
      <c r="J4">
        <v>1</v>
      </c>
      <c r="K4" t="str">
        <f t="shared" si="0"/>
        <v>Chen Wei</v>
      </c>
      <c r="L4" s="2">
        <f t="shared" si="1"/>
        <v>206640.00000000003</v>
      </c>
      <c r="M4" t="str">
        <f>_xlfn.XLOOKUP(K4,Agents!A:A,Agents!B:B,"-")</f>
        <v>Waterfront Team</v>
      </c>
      <c r="N4" t="str" cm="1">
        <f t="array" ref="N4">_xlfn.IFS(F4&gt;=0.7,"High", F4&gt;=0.4,"Medium", TRUE,"Low")</f>
        <v>Low</v>
      </c>
    </row>
    <row r="5" spans="1:14" x14ac:dyDescent="0.2">
      <c r="A5" t="s">
        <v>22</v>
      </c>
      <c r="B5" t="s">
        <v>23</v>
      </c>
      <c r="C5" t="s">
        <v>24</v>
      </c>
      <c r="D5" t="s">
        <v>25</v>
      </c>
      <c r="E5">
        <v>612000</v>
      </c>
      <c r="F5">
        <v>1</v>
      </c>
      <c r="G5" s="1">
        <v>46103</v>
      </c>
      <c r="H5" s="1">
        <v>46150</v>
      </c>
      <c r="I5" s="1">
        <v>46150</v>
      </c>
      <c r="J5">
        <v>22</v>
      </c>
      <c r="K5" t="str">
        <f t="shared" si="0"/>
        <v>James O'Brien</v>
      </c>
      <c r="L5" s="2">
        <f t="shared" si="1"/>
        <v>612000</v>
      </c>
      <c r="M5" t="str">
        <f>_xlfn.XLOOKUP(K5,Agents!A:A,Agents!B:B,"-")</f>
        <v>Waterfront Team</v>
      </c>
      <c r="N5" t="str" cm="1">
        <f t="array" ref="N5">_xlfn.IFS(F5&gt;=0.7,"High", F5&gt;=0.4,"Medium", TRUE,"Low")</f>
        <v>High</v>
      </c>
    </row>
    <row r="6" spans="1:14" x14ac:dyDescent="0.2">
      <c r="A6" t="s">
        <v>26</v>
      </c>
      <c r="B6" t="s">
        <v>15</v>
      </c>
      <c r="C6" t="s">
        <v>12</v>
      </c>
      <c r="D6" t="s">
        <v>13</v>
      </c>
      <c r="E6">
        <v>547000</v>
      </c>
      <c r="F6">
        <v>0.08</v>
      </c>
      <c r="G6" s="1">
        <v>46102</v>
      </c>
      <c r="I6" s="1">
        <v>46171</v>
      </c>
      <c r="J6">
        <v>30</v>
      </c>
      <c r="K6" t="str">
        <f t="shared" si="0"/>
        <v>Maria Garcia</v>
      </c>
      <c r="L6" s="2">
        <f t="shared" si="1"/>
        <v>43760</v>
      </c>
      <c r="M6" t="str">
        <f>_xlfn.XLOOKUP(K6,Agents!A:A,Agents!B:B,"-")</f>
        <v>North Team</v>
      </c>
      <c r="N6" t="str" cm="1">
        <f t="array" ref="N6">_xlfn.IFS(F6&gt;=0.7,"High", F6&gt;=0.4,"Medium", TRUE,"Low")</f>
        <v>Low</v>
      </c>
    </row>
    <row r="7" spans="1:14" x14ac:dyDescent="0.2">
      <c r="A7" t="s">
        <v>27</v>
      </c>
      <c r="B7" t="s">
        <v>28</v>
      </c>
      <c r="C7" t="s">
        <v>29</v>
      </c>
      <c r="D7" t="s">
        <v>13</v>
      </c>
      <c r="E7">
        <v>567000</v>
      </c>
      <c r="F7">
        <v>0.18</v>
      </c>
      <c r="G7" s="1">
        <v>46170</v>
      </c>
      <c r="I7" s="1">
        <v>46174</v>
      </c>
      <c r="J7">
        <v>24</v>
      </c>
      <c r="K7" t="str">
        <f t="shared" si="0"/>
        <v>Chen Wei</v>
      </c>
      <c r="L7" s="2">
        <f t="shared" si="1"/>
        <v>102060</v>
      </c>
      <c r="M7" t="str">
        <f>_xlfn.XLOOKUP(K7,Agents!A:A,Agents!B:B,"-")</f>
        <v>Waterfront Team</v>
      </c>
      <c r="N7" t="str" cm="1">
        <f t="array" ref="N7">_xlfn.IFS(F7&gt;=0.7,"High", F7&gt;=0.4,"Medium", TRUE,"Low")</f>
        <v>Low</v>
      </c>
    </row>
    <row r="8" spans="1:14" x14ac:dyDescent="0.2">
      <c r="A8" t="s">
        <v>30</v>
      </c>
      <c r="B8" t="s">
        <v>28</v>
      </c>
      <c r="C8" t="s">
        <v>12</v>
      </c>
      <c r="D8" t="s">
        <v>21</v>
      </c>
      <c r="E8">
        <v>226000</v>
      </c>
      <c r="F8">
        <v>0.28000000000000003</v>
      </c>
      <c r="G8" s="1">
        <v>46132</v>
      </c>
      <c r="I8" s="1">
        <v>46160</v>
      </c>
      <c r="J8">
        <v>15</v>
      </c>
      <c r="K8" t="str">
        <f t="shared" si="0"/>
        <v>Chen Wei</v>
      </c>
      <c r="L8" s="2">
        <f t="shared" si="1"/>
        <v>63280.000000000007</v>
      </c>
      <c r="M8" t="str">
        <f>_xlfn.XLOOKUP(K8,Agents!A:A,Agents!B:B,"-")</f>
        <v>Waterfront Team</v>
      </c>
      <c r="N8" t="str" cm="1">
        <f t="array" ref="N8">_xlfn.IFS(F8&gt;=0.7,"High", F8&gt;=0.4,"Medium", TRUE,"Low")</f>
        <v>Low</v>
      </c>
    </row>
    <row r="9" spans="1:14" x14ac:dyDescent="0.2">
      <c r="A9" t="s">
        <v>31</v>
      </c>
      <c r="B9" t="s">
        <v>32</v>
      </c>
      <c r="C9" t="s">
        <v>33</v>
      </c>
      <c r="D9" t="s">
        <v>34</v>
      </c>
      <c r="E9">
        <v>830000</v>
      </c>
      <c r="F9">
        <v>0.56000000000000005</v>
      </c>
      <c r="G9" s="1">
        <v>46097</v>
      </c>
      <c r="I9" s="1">
        <v>46199</v>
      </c>
      <c r="J9">
        <v>18</v>
      </c>
      <c r="K9" t="str">
        <f t="shared" si="0"/>
        <v>Maria Garcia</v>
      </c>
      <c r="L9" s="2">
        <f t="shared" si="1"/>
        <v>464800.00000000006</v>
      </c>
      <c r="M9" t="str">
        <f>_xlfn.XLOOKUP(K9,Agents!A:A,Agents!B:B,"-")</f>
        <v>North Team</v>
      </c>
      <c r="N9" t="str" cm="1">
        <f t="array" ref="N9">_xlfn.IFS(F9&gt;=0.7,"High", F9&gt;=0.4,"Medium", TRUE,"Low")</f>
        <v>Medium</v>
      </c>
    </row>
    <row r="10" spans="1:14" x14ac:dyDescent="0.2">
      <c r="A10" t="s">
        <v>35</v>
      </c>
      <c r="B10" t="s">
        <v>36</v>
      </c>
      <c r="C10" t="s">
        <v>16</v>
      </c>
      <c r="D10" t="s">
        <v>25</v>
      </c>
      <c r="E10">
        <v>843000</v>
      </c>
      <c r="F10">
        <v>1</v>
      </c>
      <c r="G10" s="1">
        <v>46172</v>
      </c>
      <c r="H10" s="1">
        <v>46240</v>
      </c>
      <c r="I10" s="1">
        <v>46240</v>
      </c>
      <c r="J10">
        <v>16</v>
      </c>
      <c r="K10" t="str">
        <f t="shared" si="0"/>
        <v>Sofia Rossi</v>
      </c>
      <c r="L10" s="2">
        <f t="shared" si="1"/>
        <v>843000</v>
      </c>
      <c r="M10" t="str">
        <f>_xlfn.XLOOKUP(K10,Agents!A:A,Agents!B:B,"-")</f>
        <v>South Team</v>
      </c>
      <c r="N10" t="str" cm="1">
        <f t="array" ref="N10">_xlfn.IFS(F10&gt;=0.7,"High", F10&gt;=0.4,"Medium", TRUE,"Low")</f>
        <v>High</v>
      </c>
    </row>
    <row r="11" spans="1:14" x14ac:dyDescent="0.2">
      <c r="A11" t="s">
        <v>37</v>
      </c>
      <c r="B11" t="s">
        <v>38</v>
      </c>
      <c r="C11" t="s">
        <v>24</v>
      </c>
      <c r="D11" t="s">
        <v>34</v>
      </c>
      <c r="E11">
        <v>835000</v>
      </c>
      <c r="F11">
        <v>0.57999999999999996</v>
      </c>
      <c r="G11" s="1">
        <v>46048</v>
      </c>
      <c r="I11" s="1">
        <v>46195</v>
      </c>
      <c r="J11">
        <v>4</v>
      </c>
      <c r="K11" t="str">
        <f t="shared" si="0"/>
        <v>James O'Brien</v>
      </c>
      <c r="L11" s="2">
        <f t="shared" si="1"/>
        <v>484299.99999999994</v>
      </c>
      <c r="M11" t="str">
        <f>_xlfn.XLOOKUP(K11,Agents!A:A,Agents!B:B,"-")</f>
        <v>Waterfront Team</v>
      </c>
      <c r="N11" t="str" cm="1">
        <f t="array" ref="N11">_xlfn.IFS(F11&gt;=0.7,"High", F11&gt;=0.4,"Medium", TRUE,"Low")</f>
        <v>Medium</v>
      </c>
    </row>
    <row r="12" spans="1:14" x14ac:dyDescent="0.2">
      <c r="A12" t="s">
        <v>39</v>
      </c>
      <c r="B12" t="s">
        <v>23</v>
      </c>
      <c r="C12" t="s">
        <v>33</v>
      </c>
      <c r="D12" t="s">
        <v>40</v>
      </c>
      <c r="E12">
        <v>212000</v>
      </c>
      <c r="F12">
        <v>0</v>
      </c>
      <c r="G12" s="1">
        <v>46110</v>
      </c>
      <c r="H12" s="1">
        <v>46165</v>
      </c>
      <c r="I12" s="1">
        <v>46165</v>
      </c>
      <c r="J12">
        <v>37</v>
      </c>
      <c r="K12" t="str">
        <f t="shared" si="0"/>
        <v>James O'Brien</v>
      </c>
      <c r="L12" s="2">
        <f t="shared" si="1"/>
        <v>0</v>
      </c>
      <c r="M12" t="str">
        <f>_xlfn.XLOOKUP(K12,Agents!A:A,Agents!B:B,"-")</f>
        <v>Waterfront Team</v>
      </c>
      <c r="N12" t="str" cm="1">
        <f t="array" ref="N12">_xlfn.IFS(F12&gt;=0.7,"High", F12&gt;=0.4,"Medium", TRUE,"Low")</f>
        <v>Low</v>
      </c>
    </row>
    <row r="13" spans="1:14" x14ac:dyDescent="0.2">
      <c r="A13" t="s">
        <v>41</v>
      </c>
      <c r="B13" t="s">
        <v>42</v>
      </c>
      <c r="C13" t="s">
        <v>20</v>
      </c>
      <c r="D13" t="s">
        <v>43</v>
      </c>
      <c r="E13">
        <v>691000</v>
      </c>
      <c r="F13">
        <v>0.35</v>
      </c>
      <c r="G13" s="1">
        <v>46089</v>
      </c>
      <c r="I13" s="1">
        <v>46168</v>
      </c>
      <c r="J13">
        <v>9</v>
      </c>
      <c r="K13" t="str">
        <f t="shared" si="0"/>
        <v>Sofia Rossi</v>
      </c>
      <c r="L13" s="2">
        <f t="shared" si="1"/>
        <v>241849.99999999997</v>
      </c>
      <c r="M13" t="str">
        <f>_xlfn.XLOOKUP(K13,Agents!A:A,Agents!B:B,"-")</f>
        <v>South Team</v>
      </c>
      <c r="N13" t="str" cm="1">
        <f t="array" ref="N13">_xlfn.IFS(F13&gt;=0.7,"High", F13&gt;=0.4,"Medium", TRUE,"Low")</f>
        <v>Low</v>
      </c>
    </row>
    <row r="14" spans="1:14" x14ac:dyDescent="0.2">
      <c r="A14" t="s">
        <v>44</v>
      </c>
      <c r="B14" t="s">
        <v>45</v>
      </c>
      <c r="C14" t="s">
        <v>46</v>
      </c>
      <c r="D14" t="s">
        <v>25</v>
      </c>
      <c r="E14">
        <v>754000</v>
      </c>
      <c r="F14">
        <v>1</v>
      </c>
      <c r="G14" s="1">
        <v>46053</v>
      </c>
      <c r="H14" s="1">
        <v>46099</v>
      </c>
      <c r="I14" s="1">
        <v>46099</v>
      </c>
      <c r="J14">
        <v>38</v>
      </c>
      <c r="K14" t="str">
        <f t="shared" si="0"/>
        <v>James O'Brien</v>
      </c>
      <c r="L14" s="2">
        <f t="shared" si="1"/>
        <v>754000</v>
      </c>
      <c r="M14" t="str">
        <f>_xlfn.XLOOKUP(K14,Agents!A:A,Agents!B:B,"-")</f>
        <v>Waterfront Team</v>
      </c>
      <c r="N14" t="str" cm="1">
        <f t="array" ref="N14">_xlfn.IFS(F14&gt;=0.7,"High", F14&gt;=0.4,"Medium", TRUE,"Low")</f>
        <v>High</v>
      </c>
    </row>
    <row r="15" spans="1:14" x14ac:dyDescent="0.2">
      <c r="A15" t="s">
        <v>47</v>
      </c>
      <c r="B15" t="s">
        <v>48</v>
      </c>
      <c r="C15" t="s">
        <v>12</v>
      </c>
      <c r="D15" t="s">
        <v>43</v>
      </c>
      <c r="E15">
        <v>321000</v>
      </c>
      <c r="F15">
        <v>0.36</v>
      </c>
      <c r="G15" s="1">
        <v>46060</v>
      </c>
      <c r="I15" s="1">
        <v>46178</v>
      </c>
      <c r="J15">
        <v>8</v>
      </c>
      <c r="K15" t="str">
        <f t="shared" si="0"/>
        <v>David Washington</v>
      </c>
      <c r="L15" s="2">
        <f t="shared" si="1"/>
        <v>115560</v>
      </c>
      <c r="M15" t="str">
        <f>_xlfn.XLOOKUP(K15,Agents!A:A,Agents!B:B,"-")</f>
        <v>South Team</v>
      </c>
      <c r="N15" t="str" cm="1">
        <f t="array" ref="N15">_xlfn.IFS(F15&gt;=0.7,"High", F15&gt;=0.4,"Medium", TRUE,"Low")</f>
        <v>Low</v>
      </c>
    </row>
    <row r="16" spans="1:14" x14ac:dyDescent="0.2">
      <c r="A16" t="s">
        <v>49</v>
      </c>
      <c r="B16" t="s">
        <v>23</v>
      </c>
      <c r="C16" t="s">
        <v>46</v>
      </c>
      <c r="D16" t="s">
        <v>25</v>
      </c>
      <c r="E16">
        <v>343000</v>
      </c>
      <c r="F16">
        <v>1</v>
      </c>
      <c r="G16" s="1">
        <v>46082</v>
      </c>
      <c r="H16" s="1">
        <v>46150</v>
      </c>
      <c r="I16" s="1">
        <v>46150</v>
      </c>
      <c r="J16">
        <v>30</v>
      </c>
      <c r="K16" t="str">
        <f t="shared" si="0"/>
        <v>James O'Brien</v>
      </c>
      <c r="L16" s="2">
        <f t="shared" si="1"/>
        <v>343000</v>
      </c>
      <c r="M16" t="str">
        <f>_xlfn.XLOOKUP(K16,Agents!A:A,Agents!B:B,"-")</f>
        <v>Waterfront Team</v>
      </c>
      <c r="N16" t="str" cm="1">
        <f t="array" ref="N16">_xlfn.IFS(F16&gt;=0.7,"High", F16&gt;=0.4,"Medium", TRUE,"Low")</f>
        <v>High</v>
      </c>
    </row>
    <row r="17" spans="1:14" x14ac:dyDescent="0.2">
      <c r="A17" t="s">
        <v>50</v>
      </c>
      <c r="B17" t="s">
        <v>51</v>
      </c>
      <c r="C17" t="s">
        <v>24</v>
      </c>
      <c r="D17" t="s">
        <v>43</v>
      </c>
      <c r="E17">
        <v>191000</v>
      </c>
      <c r="F17">
        <v>0.48</v>
      </c>
      <c r="G17" s="1">
        <v>46161</v>
      </c>
      <c r="I17" s="1">
        <v>46166</v>
      </c>
      <c r="J17">
        <v>18</v>
      </c>
      <c r="K17" t="str">
        <f t="shared" si="0"/>
        <v>Chen Wei</v>
      </c>
      <c r="L17" s="2">
        <f t="shared" si="1"/>
        <v>91680</v>
      </c>
      <c r="M17" t="str">
        <f>_xlfn.XLOOKUP(K17,Agents!A:A,Agents!B:B,"-")</f>
        <v>Waterfront Team</v>
      </c>
      <c r="N17" t="str" cm="1">
        <f t="array" ref="N17">_xlfn.IFS(F17&gt;=0.7,"High", F17&gt;=0.4,"Medium", TRUE,"Low")</f>
        <v>Medium</v>
      </c>
    </row>
    <row r="18" spans="1:14" x14ac:dyDescent="0.2">
      <c r="A18" t="s">
        <v>52</v>
      </c>
      <c r="B18" t="s">
        <v>11</v>
      </c>
      <c r="C18" t="s">
        <v>29</v>
      </c>
      <c r="D18" t="s">
        <v>43</v>
      </c>
      <c r="E18">
        <v>625000</v>
      </c>
      <c r="F18">
        <v>0.34</v>
      </c>
      <c r="G18" s="1">
        <v>46150</v>
      </c>
      <c r="I18" s="1">
        <v>46180</v>
      </c>
      <c r="J18">
        <v>17</v>
      </c>
      <c r="K18" t="str">
        <f t="shared" si="0"/>
        <v>Sofia Rossi</v>
      </c>
      <c r="L18" s="2">
        <f t="shared" si="1"/>
        <v>212500.00000000003</v>
      </c>
      <c r="M18" t="str">
        <f>_xlfn.XLOOKUP(K18,Agents!A:A,Agents!B:B,"-")</f>
        <v>South Team</v>
      </c>
      <c r="N18" t="str" cm="1">
        <f t="array" ref="N18">_xlfn.IFS(F18&gt;=0.7,"High", F18&gt;=0.4,"Medium", TRUE,"Low")</f>
        <v>Low</v>
      </c>
    </row>
    <row r="19" spans="1:14" x14ac:dyDescent="0.2">
      <c r="A19" t="s">
        <v>53</v>
      </c>
      <c r="B19" t="s">
        <v>28</v>
      </c>
      <c r="C19" t="s">
        <v>29</v>
      </c>
      <c r="D19" t="s">
        <v>40</v>
      </c>
      <c r="E19">
        <v>362000</v>
      </c>
      <c r="F19">
        <v>0</v>
      </c>
      <c r="G19" s="1">
        <v>46061</v>
      </c>
      <c r="H19" s="1">
        <v>46149</v>
      </c>
      <c r="I19" s="1">
        <v>46149</v>
      </c>
      <c r="J19">
        <v>20</v>
      </c>
      <c r="K19" t="str">
        <f t="shared" si="0"/>
        <v>Chen Wei</v>
      </c>
      <c r="L19" s="2">
        <f t="shared" si="1"/>
        <v>0</v>
      </c>
      <c r="M19" t="str">
        <f>_xlfn.XLOOKUP(K19,Agents!A:A,Agents!B:B,"-")</f>
        <v>Waterfront Team</v>
      </c>
      <c r="N19" t="str" cm="1">
        <f t="array" ref="N19">_xlfn.IFS(F19&gt;=0.7,"High", F19&gt;=0.4,"Medium", TRUE,"Low")</f>
        <v>Low</v>
      </c>
    </row>
    <row r="20" spans="1:14" x14ac:dyDescent="0.2">
      <c r="A20" t="s">
        <v>54</v>
      </c>
      <c r="B20" t="s">
        <v>11</v>
      </c>
      <c r="C20" t="s">
        <v>24</v>
      </c>
      <c r="D20" t="s">
        <v>17</v>
      </c>
      <c r="E20">
        <v>336000</v>
      </c>
      <c r="F20">
        <v>0.87</v>
      </c>
      <c r="G20" s="1">
        <v>46095</v>
      </c>
      <c r="I20" s="1">
        <v>46161</v>
      </c>
      <c r="J20">
        <v>34</v>
      </c>
      <c r="K20" t="str">
        <f t="shared" si="0"/>
        <v>Sofia Rossi</v>
      </c>
      <c r="L20" s="2">
        <f t="shared" si="1"/>
        <v>292320</v>
      </c>
      <c r="M20" t="str">
        <f>_xlfn.XLOOKUP(K20,Agents!A:A,Agents!B:B,"-")</f>
        <v>South Team</v>
      </c>
      <c r="N20" t="str" cm="1">
        <f t="array" ref="N20">_xlfn.IFS(F20&gt;=0.7,"High", F20&gt;=0.4,"Medium", TRUE,"Low")</f>
        <v>High</v>
      </c>
    </row>
    <row r="21" spans="1:14" x14ac:dyDescent="0.2">
      <c r="A21" t="s">
        <v>55</v>
      </c>
      <c r="B21" t="s">
        <v>56</v>
      </c>
      <c r="C21" t="s">
        <v>24</v>
      </c>
      <c r="D21" t="s">
        <v>17</v>
      </c>
      <c r="E21">
        <v>199000</v>
      </c>
      <c r="F21">
        <v>0.82</v>
      </c>
      <c r="G21" s="1">
        <v>46162</v>
      </c>
      <c r="I21" s="1">
        <v>46186</v>
      </c>
      <c r="J21">
        <v>20</v>
      </c>
      <c r="K21" t="str">
        <f t="shared" si="0"/>
        <v>Maria Garcia</v>
      </c>
      <c r="L21" s="2">
        <f t="shared" si="1"/>
        <v>163180</v>
      </c>
      <c r="M21" t="str">
        <f>_xlfn.XLOOKUP(K21,Agents!A:A,Agents!B:B,"-")</f>
        <v>North Team</v>
      </c>
      <c r="N21" t="str" cm="1">
        <f t="array" ref="N21">_xlfn.IFS(F21&gt;=0.7,"High", F21&gt;=0.4,"Medium", TRUE,"Low")</f>
        <v>High</v>
      </c>
    </row>
    <row r="22" spans="1:14" x14ac:dyDescent="0.2">
      <c r="A22" t="s">
        <v>57</v>
      </c>
      <c r="B22" t="s">
        <v>45</v>
      </c>
      <c r="C22" t="s">
        <v>24</v>
      </c>
      <c r="D22" t="s">
        <v>13</v>
      </c>
      <c r="E22">
        <v>760000</v>
      </c>
      <c r="F22">
        <v>0.06</v>
      </c>
      <c r="G22" s="1">
        <v>46170</v>
      </c>
      <c r="I22" s="1">
        <v>46204</v>
      </c>
      <c r="J22">
        <v>5</v>
      </c>
      <c r="K22" t="str">
        <f t="shared" si="0"/>
        <v>James O'Brien</v>
      </c>
      <c r="L22" s="2">
        <f t="shared" si="1"/>
        <v>45600</v>
      </c>
      <c r="M22" t="str">
        <f>_xlfn.XLOOKUP(K22,Agents!A:A,Agents!B:B,"-")</f>
        <v>Waterfront Team</v>
      </c>
      <c r="N22" t="str" cm="1">
        <f t="array" ref="N22">_xlfn.IFS(F22&gt;=0.7,"High", F22&gt;=0.4,"Medium", TRUE,"Low")</f>
        <v>Low</v>
      </c>
    </row>
    <row r="23" spans="1:14" x14ac:dyDescent="0.2">
      <c r="A23" t="s">
        <v>58</v>
      </c>
      <c r="B23" t="s">
        <v>19</v>
      </c>
      <c r="C23" t="s">
        <v>16</v>
      </c>
      <c r="D23" t="s">
        <v>40</v>
      </c>
      <c r="E23">
        <v>308000</v>
      </c>
      <c r="F23">
        <v>0</v>
      </c>
      <c r="G23" s="1">
        <v>46158</v>
      </c>
      <c r="H23" s="1">
        <v>46230</v>
      </c>
      <c r="I23" s="1">
        <v>46230</v>
      </c>
      <c r="J23">
        <v>11</v>
      </c>
      <c r="K23" t="str">
        <f t="shared" si="0"/>
        <v>Chen Wei</v>
      </c>
      <c r="L23" s="2">
        <f t="shared" si="1"/>
        <v>0</v>
      </c>
      <c r="M23" t="str">
        <f>_xlfn.XLOOKUP(K23,Agents!A:A,Agents!B:B,"-")</f>
        <v>Waterfront Team</v>
      </c>
      <c r="N23" t="str" cm="1">
        <f t="array" ref="N23">_xlfn.IFS(F23&gt;=0.7,"High", F23&gt;=0.4,"Medium", TRUE,"Low")</f>
        <v>Low</v>
      </c>
    </row>
    <row r="24" spans="1:14" x14ac:dyDescent="0.2">
      <c r="A24" t="s">
        <v>59</v>
      </c>
      <c r="B24" t="s">
        <v>60</v>
      </c>
      <c r="C24" t="s">
        <v>29</v>
      </c>
      <c r="D24" t="s">
        <v>17</v>
      </c>
      <c r="E24">
        <v>613000</v>
      </c>
      <c r="F24">
        <v>0.91</v>
      </c>
      <c r="G24" s="1">
        <v>46136</v>
      </c>
      <c r="I24" s="1">
        <v>46175</v>
      </c>
      <c r="J24">
        <v>13</v>
      </c>
      <c r="K24" t="str">
        <f t="shared" si="0"/>
        <v>Priya Patel</v>
      </c>
      <c r="L24" s="2">
        <f t="shared" si="1"/>
        <v>557830</v>
      </c>
      <c r="M24" t="str">
        <f>_xlfn.XLOOKUP(K24,Agents!A:A,Agents!B:B,"-")</f>
        <v>North Team</v>
      </c>
      <c r="N24" t="str" cm="1">
        <f t="array" ref="N24">_xlfn.IFS(F24&gt;=0.7,"High", F24&gt;=0.4,"Medium", TRUE,"Low")</f>
        <v>High</v>
      </c>
    </row>
    <row r="25" spans="1:14" x14ac:dyDescent="0.2">
      <c r="A25" t="s">
        <v>61</v>
      </c>
      <c r="B25" t="s">
        <v>62</v>
      </c>
      <c r="C25" t="s">
        <v>46</v>
      </c>
      <c r="D25" t="s">
        <v>43</v>
      </c>
      <c r="E25">
        <v>845000</v>
      </c>
      <c r="F25">
        <v>0.38</v>
      </c>
      <c r="G25" s="1">
        <v>46095</v>
      </c>
      <c r="I25" s="1">
        <v>46181</v>
      </c>
      <c r="J25">
        <v>8</v>
      </c>
      <c r="K25" t="str">
        <f t="shared" si="0"/>
        <v>Sofia Rossi</v>
      </c>
      <c r="L25" s="2">
        <f t="shared" si="1"/>
        <v>321100</v>
      </c>
      <c r="M25" t="str">
        <f>_xlfn.XLOOKUP(K25,Agents!A:A,Agents!B:B,"-")</f>
        <v>South Team</v>
      </c>
      <c r="N25" t="str" cm="1">
        <f t="array" ref="N25">_xlfn.IFS(F25&gt;=0.7,"High", F25&gt;=0.4,"Medium", TRUE,"Low")</f>
        <v>Low</v>
      </c>
    </row>
    <row r="26" spans="1:14" x14ac:dyDescent="0.2">
      <c r="A26" t="s">
        <v>63</v>
      </c>
      <c r="B26" t="s">
        <v>23</v>
      </c>
      <c r="C26" t="s">
        <v>33</v>
      </c>
      <c r="D26" t="s">
        <v>21</v>
      </c>
      <c r="E26">
        <v>201000</v>
      </c>
      <c r="F26">
        <v>0.18</v>
      </c>
      <c r="G26" s="1">
        <v>46040</v>
      </c>
      <c r="I26" s="1">
        <v>46174</v>
      </c>
      <c r="J26">
        <v>1</v>
      </c>
      <c r="K26" t="str">
        <f t="shared" si="0"/>
        <v>James O'Brien</v>
      </c>
      <c r="L26" s="2">
        <f t="shared" si="1"/>
        <v>36180</v>
      </c>
      <c r="M26" t="str">
        <f>_xlfn.XLOOKUP(K26,Agents!A:A,Agents!B:B,"-")</f>
        <v>Waterfront Team</v>
      </c>
      <c r="N26" t="str" cm="1">
        <f t="array" ref="N26">_xlfn.IFS(F26&gt;=0.7,"High", F26&gt;=0.4,"Medium", TRUE,"Low")</f>
        <v>Low</v>
      </c>
    </row>
    <row r="27" spans="1:14" x14ac:dyDescent="0.2">
      <c r="A27" t="s">
        <v>64</v>
      </c>
      <c r="B27" t="s">
        <v>15</v>
      </c>
      <c r="C27" t="s">
        <v>12</v>
      </c>
      <c r="D27" t="s">
        <v>25</v>
      </c>
      <c r="E27">
        <v>826000</v>
      </c>
      <c r="F27">
        <v>1</v>
      </c>
      <c r="G27" s="1">
        <v>46175</v>
      </c>
      <c r="H27" s="1">
        <v>46219</v>
      </c>
      <c r="I27" s="1">
        <v>46219</v>
      </c>
      <c r="J27">
        <v>22</v>
      </c>
      <c r="K27" t="str">
        <f t="shared" si="0"/>
        <v>Maria Garcia</v>
      </c>
      <c r="L27" s="2">
        <f t="shared" si="1"/>
        <v>826000</v>
      </c>
      <c r="M27" t="str">
        <f>_xlfn.XLOOKUP(K27,Agents!A:A,Agents!B:B,"-")</f>
        <v>North Team</v>
      </c>
      <c r="N27" t="str" cm="1">
        <f t="array" ref="N27">_xlfn.IFS(F27&gt;=0.7,"High", F27&gt;=0.4,"Medium", TRUE,"Low")</f>
        <v>High</v>
      </c>
    </row>
    <row r="28" spans="1:14" x14ac:dyDescent="0.2">
      <c r="A28" t="s">
        <v>65</v>
      </c>
      <c r="B28" t="s">
        <v>15</v>
      </c>
      <c r="C28" t="s">
        <v>16</v>
      </c>
      <c r="D28" t="s">
        <v>17</v>
      </c>
      <c r="E28">
        <v>677000</v>
      </c>
      <c r="F28">
        <v>0.81</v>
      </c>
      <c r="G28" s="1">
        <v>46136</v>
      </c>
      <c r="I28" s="1">
        <v>46175</v>
      </c>
      <c r="J28">
        <v>37</v>
      </c>
      <c r="K28" t="str">
        <f t="shared" si="0"/>
        <v>Maria Garcia</v>
      </c>
      <c r="L28" s="2">
        <f t="shared" si="1"/>
        <v>548370</v>
      </c>
      <c r="M28" t="str">
        <f>_xlfn.XLOOKUP(K28,Agents!A:A,Agents!B:B,"-")</f>
        <v>North Team</v>
      </c>
      <c r="N28" t="str" cm="1">
        <f t="array" ref="N28">_xlfn.IFS(F28&gt;=0.7,"High", F28&gt;=0.4,"Medium", TRUE,"Low")</f>
        <v>High</v>
      </c>
    </row>
    <row r="29" spans="1:14" x14ac:dyDescent="0.2">
      <c r="A29" t="s">
        <v>66</v>
      </c>
      <c r="B29" t="s">
        <v>48</v>
      </c>
      <c r="C29" t="s">
        <v>46</v>
      </c>
      <c r="D29" t="s">
        <v>21</v>
      </c>
      <c r="E29">
        <v>596000</v>
      </c>
      <c r="F29">
        <v>0.3</v>
      </c>
      <c r="G29" s="1">
        <v>46142</v>
      </c>
      <c r="I29" s="1">
        <v>46203</v>
      </c>
      <c r="J29">
        <v>23</v>
      </c>
      <c r="K29" t="str">
        <f t="shared" si="0"/>
        <v>David Washington</v>
      </c>
      <c r="L29" s="2">
        <f t="shared" si="1"/>
        <v>178800</v>
      </c>
      <c r="M29" t="str">
        <f>_xlfn.XLOOKUP(K29,Agents!A:A,Agents!B:B,"-")</f>
        <v>South Team</v>
      </c>
      <c r="N29" t="str" cm="1">
        <f t="array" ref="N29">_xlfn.IFS(F29&gt;=0.7,"High", F29&gt;=0.4,"Medium", TRUE,"Low")</f>
        <v>Low</v>
      </c>
    </row>
    <row r="30" spans="1:14" x14ac:dyDescent="0.2">
      <c r="A30" t="s">
        <v>67</v>
      </c>
      <c r="B30" t="s">
        <v>68</v>
      </c>
      <c r="C30" t="s">
        <v>20</v>
      </c>
      <c r="D30" t="s">
        <v>34</v>
      </c>
      <c r="E30">
        <v>235000</v>
      </c>
      <c r="F30">
        <v>0.59</v>
      </c>
      <c r="G30" s="1">
        <v>46165</v>
      </c>
      <c r="I30" s="1">
        <v>46206</v>
      </c>
      <c r="J30">
        <v>7</v>
      </c>
      <c r="K30" t="str">
        <f t="shared" si="0"/>
        <v>David Washington</v>
      </c>
      <c r="L30" s="2">
        <f t="shared" si="1"/>
        <v>138650</v>
      </c>
      <c r="M30" t="str">
        <f>_xlfn.XLOOKUP(K30,Agents!A:A,Agents!B:B,"-")</f>
        <v>South Team</v>
      </c>
      <c r="N30" t="str" cm="1">
        <f t="array" ref="N30">_xlfn.IFS(F30&gt;=0.7,"High", F30&gt;=0.4,"Medium", TRUE,"Low")</f>
        <v>Medium</v>
      </c>
    </row>
    <row r="31" spans="1:14" x14ac:dyDescent="0.2">
      <c r="A31" t="s">
        <v>69</v>
      </c>
      <c r="B31" t="s">
        <v>23</v>
      </c>
      <c r="C31" t="s">
        <v>46</v>
      </c>
      <c r="D31" t="s">
        <v>21</v>
      </c>
      <c r="E31">
        <v>639000</v>
      </c>
      <c r="F31">
        <v>0.2</v>
      </c>
      <c r="G31" s="1">
        <v>46155</v>
      </c>
      <c r="I31" s="1">
        <v>46182</v>
      </c>
      <c r="J31">
        <v>16</v>
      </c>
      <c r="K31" t="str">
        <f t="shared" si="0"/>
        <v>James O'Brien</v>
      </c>
      <c r="L31" s="2">
        <f t="shared" si="1"/>
        <v>127800</v>
      </c>
      <c r="M31" t="str">
        <f>_xlfn.XLOOKUP(K31,Agents!A:A,Agents!B:B,"-")</f>
        <v>Waterfront Team</v>
      </c>
      <c r="N31" t="str" cm="1">
        <f t="array" ref="N31">_xlfn.IFS(F31&gt;=0.7,"High", F31&gt;=0.4,"Medium", TRUE,"Low")</f>
        <v>Low</v>
      </c>
    </row>
    <row r="32" spans="1:14" x14ac:dyDescent="0.2">
      <c r="A32" t="s">
        <v>70</v>
      </c>
      <c r="B32" t="s">
        <v>71</v>
      </c>
      <c r="C32" t="s">
        <v>16</v>
      </c>
      <c r="D32" t="s">
        <v>34</v>
      </c>
      <c r="E32">
        <v>743000</v>
      </c>
      <c r="F32">
        <v>0.65</v>
      </c>
      <c r="G32" s="1">
        <v>46165</v>
      </c>
      <c r="I32" s="1">
        <v>46206</v>
      </c>
      <c r="J32">
        <v>1</v>
      </c>
      <c r="K32" t="str">
        <f t="shared" si="0"/>
        <v>Maria Garcia</v>
      </c>
      <c r="L32" s="2">
        <f t="shared" si="1"/>
        <v>482950</v>
      </c>
      <c r="M32" t="str">
        <f>_xlfn.XLOOKUP(K32,Agents!A:A,Agents!B:B,"-")</f>
        <v>North Team</v>
      </c>
      <c r="N32" t="str" cm="1">
        <f t="array" ref="N32">_xlfn.IFS(F32&gt;=0.7,"High", F32&gt;=0.4,"Medium", TRUE,"Low")</f>
        <v>Medium</v>
      </c>
    </row>
    <row r="33" spans="1:14" x14ac:dyDescent="0.2">
      <c r="A33" t="s">
        <v>72</v>
      </c>
      <c r="B33" t="s">
        <v>32</v>
      </c>
      <c r="C33" t="s">
        <v>33</v>
      </c>
      <c r="D33" t="s">
        <v>40</v>
      </c>
      <c r="E33">
        <v>422000</v>
      </c>
      <c r="F33">
        <v>0</v>
      </c>
      <c r="G33" s="1">
        <v>46148</v>
      </c>
      <c r="H33" s="1">
        <v>46204</v>
      </c>
      <c r="I33" s="1">
        <v>46204</v>
      </c>
      <c r="J33">
        <v>26</v>
      </c>
      <c r="K33" t="str">
        <f t="shared" si="0"/>
        <v>Maria Garcia</v>
      </c>
      <c r="L33" s="2">
        <f t="shared" si="1"/>
        <v>0</v>
      </c>
      <c r="M33" t="str">
        <f>_xlfn.XLOOKUP(K33,Agents!A:A,Agents!B:B,"-")</f>
        <v>North Team</v>
      </c>
      <c r="N33" t="str" cm="1">
        <f t="array" ref="N33">_xlfn.IFS(F33&gt;=0.7,"High", F33&gt;=0.4,"Medium", TRUE,"Low")</f>
        <v>Low</v>
      </c>
    </row>
    <row r="34" spans="1:14" x14ac:dyDescent="0.2">
      <c r="A34" t="s">
        <v>73</v>
      </c>
      <c r="B34" t="s">
        <v>74</v>
      </c>
      <c r="C34" t="s">
        <v>20</v>
      </c>
      <c r="D34" t="s">
        <v>21</v>
      </c>
      <c r="E34">
        <v>579000</v>
      </c>
      <c r="F34">
        <v>0.23</v>
      </c>
      <c r="G34" s="1">
        <v>46123</v>
      </c>
      <c r="I34" s="1">
        <v>46159</v>
      </c>
      <c r="J34">
        <v>28</v>
      </c>
      <c r="K34" t="str">
        <f t="shared" si="0"/>
        <v>Maria Garcia</v>
      </c>
      <c r="L34" s="2">
        <f t="shared" si="1"/>
        <v>133170</v>
      </c>
      <c r="M34" t="str">
        <f>_xlfn.XLOOKUP(K34,Agents!A:A,Agents!B:B,"-")</f>
        <v>North Team</v>
      </c>
      <c r="N34" t="str" cm="1">
        <f t="array" ref="N34">_xlfn.IFS(F34&gt;=0.7,"High", F34&gt;=0.4,"Medium", TRUE,"Low")</f>
        <v>Low</v>
      </c>
    </row>
    <row r="35" spans="1:14" x14ac:dyDescent="0.2">
      <c r="A35" t="s">
        <v>75</v>
      </c>
      <c r="B35" t="s">
        <v>11</v>
      </c>
      <c r="C35" t="s">
        <v>33</v>
      </c>
      <c r="D35" t="s">
        <v>25</v>
      </c>
      <c r="E35">
        <v>749000</v>
      </c>
      <c r="F35">
        <v>1</v>
      </c>
      <c r="G35" s="1">
        <v>46066</v>
      </c>
      <c r="H35" s="1">
        <v>46105</v>
      </c>
      <c r="I35" s="1">
        <v>46105</v>
      </c>
      <c r="J35">
        <v>4</v>
      </c>
      <c r="K35" t="str">
        <f t="shared" si="0"/>
        <v>Sofia Rossi</v>
      </c>
      <c r="L35" s="2">
        <f t="shared" si="1"/>
        <v>749000</v>
      </c>
      <c r="M35" t="str">
        <f>_xlfn.XLOOKUP(K35,Agents!A:A,Agents!B:B,"-")</f>
        <v>South Team</v>
      </c>
      <c r="N35" t="str" cm="1">
        <f t="array" ref="N35">_xlfn.IFS(F35&gt;=0.7,"High", F35&gt;=0.4,"Medium", TRUE,"Low")</f>
        <v>High</v>
      </c>
    </row>
    <row r="36" spans="1:14" x14ac:dyDescent="0.2">
      <c r="A36" t="s">
        <v>76</v>
      </c>
      <c r="B36" t="s">
        <v>19</v>
      </c>
      <c r="C36" t="s">
        <v>12</v>
      </c>
      <c r="D36" t="s">
        <v>25</v>
      </c>
      <c r="E36">
        <v>735000</v>
      </c>
      <c r="F36">
        <v>1</v>
      </c>
      <c r="G36" s="1">
        <v>46175</v>
      </c>
      <c r="H36" s="1">
        <v>46252</v>
      </c>
      <c r="I36" s="1">
        <v>46252</v>
      </c>
      <c r="J36">
        <v>38</v>
      </c>
      <c r="K36" t="str">
        <f t="shared" si="0"/>
        <v>Chen Wei</v>
      </c>
      <c r="L36" s="2">
        <f t="shared" si="1"/>
        <v>735000</v>
      </c>
      <c r="M36" t="str">
        <f>_xlfn.XLOOKUP(K36,Agents!A:A,Agents!B:B,"-")</f>
        <v>Waterfront Team</v>
      </c>
      <c r="N36" t="str" cm="1">
        <f t="array" ref="N36">_xlfn.IFS(F36&gt;=0.7,"High", F36&gt;=0.4,"Medium", TRUE,"Low")</f>
        <v>High</v>
      </c>
    </row>
    <row r="37" spans="1:14" x14ac:dyDescent="0.2">
      <c r="A37" t="s">
        <v>77</v>
      </c>
      <c r="B37" t="s">
        <v>78</v>
      </c>
      <c r="C37" t="s">
        <v>12</v>
      </c>
      <c r="D37" t="s">
        <v>17</v>
      </c>
      <c r="E37">
        <v>723000</v>
      </c>
      <c r="F37">
        <v>0.92</v>
      </c>
      <c r="G37" s="1">
        <v>46150</v>
      </c>
      <c r="I37" s="1">
        <v>46206</v>
      </c>
      <c r="J37">
        <v>12</v>
      </c>
      <c r="K37" t="str">
        <f t="shared" si="0"/>
        <v>David Washington</v>
      </c>
      <c r="L37" s="2">
        <f t="shared" si="1"/>
        <v>665160</v>
      </c>
      <c r="M37" t="str">
        <f>_xlfn.XLOOKUP(K37,Agents!A:A,Agents!B:B,"-")</f>
        <v>South Team</v>
      </c>
      <c r="N37" t="str" cm="1">
        <f t="array" ref="N37">_xlfn.IFS(F37&gt;=0.7,"High", F37&gt;=0.4,"Medium", TRUE,"Low")</f>
        <v>High</v>
      </c>
    </row>
    <row r="38" spans="1:14" x14ac:dyDescent="0.2">
      <c r="A38" t="s">
        <v>79</v>
      </c>
      <c r="B38" t="s">
        <v>56</v>
      </c>
      <c r="C38" t="s">
        <v>16</v>
      </c>
      <c r="D38" t="s">
        <v>17</v>
      </c>
      <c r="E38">
        <v>420000</v>
      </c>
      <c r="F38">
        <v>0.78</v>
      </c>
      <c r="G38" s="1">
        <v>46087</v>
      </c>
      <c r="I38" s="1">
        <v>46202</v>
      </c>
      <c r="J38">
        <v>16</v>
      </c>
      <c r="K38" t="str">
        <f t="shared" si="0"/>
        <v>Maria Garcia</v>
      </c>
      <c r="L38" s="2">
        <f t="shared" si="1"/>
        <v>327600</v>
      </c>
      <c r="M38" t="str">
        <f>_xlfn.XLOOKUP(K38,Agents!A:A,Agents!B:B,"-")</f>
        <v>North Team</v>
      </c>
      <c r="N38" t="str" cm="1">
        <f t="array" ref="N38">_xlfn.IFS(F38&gt;=0.7,"High", F38&gt;=0.4,"Medium", TRUE,"Low")</f>
        <v>High</v>
      </c>
    </row>
    <row r="39" spans="1:14" x14ac:dyDescent="0.2">
      <c r="A39" t="s">
        <v>80</v>
      </c>
      <c r="B39" t="s">
        <v>81</v>
      </c>
      <c r="C39" t="s">
        <v>16</v>
      </c>
      <c r="D39" t="s">
        <v>17</v>
      </c>
      <c r="E39">
        <v>263000</v>
      </c>
      <c r="F39">
        <v>0.78</v>
      </c>
      <c r="G39" s="1">
        <v>46083</v>
      </c>
      <c r="I39" s="1">
        <v>46167</v>
      </c>
      <c r="J39">
        <v>21</v>
      </c>
      <c r="K39" t="str">
        <f t="shared" si="0"/>
        <v>Chen Wei</v>
      </c>
      <c r="L39" s="2">
        <f t="shared" si="1"/>
        <v>205140</v>
      </c>
      <c r="M39" t="str">
        <f>_xlfn.XLOOKUP(K39,Agents!A:A,Agents!B:B,"-")</f>
        <v>Waterfront Team</v>
      </c>
      <c r="N39" t="str" cm="1">
        <f t="array" ref="N39">_xlfn.IFS(F39&gt;=0.7,"High", F39&gt;=0.4,"Medium", TRUE,"Low")</f>
        <v>High</v>
      </c>
    </row>
    <row r="40" spans="1:14" x14ac:dyDescent="0.2">
      <c r="A40" t="s">
        <v>82</v>
      </c>
      <c r="B40" t="s">
        <v>83</v>
      </c>
      <c r="C40" t="s">
        <v>29</v>
      </c>
      <c r="D40" t="s">
        <v>21</v>
      </c>
      <c r="E40">
        <v>501000</v>
      </c>
      <c r="F40">
        <v>0.28000000000000003</v>
      </c>
      <c r="G40" s="1">
        <v>46129</v>
      </c>
      <c r="I40" s="1">
        <v>46193</v>
      </c>
      <c r="J40">
        <v>20</v>
      </c>
      <c r="K40" t="str">
        <f t="shared" si="0"/>
        <v>Priya Patel</v>
      </c>
      <c r="L40" s="2">
        <f t="shared" si="1"/>
        <v>140280</v>
      </c>
      <c r="M40" t="str">
        <f>_xlfn.XLOOKUP(K40,Agents!A:A,Agents!B:B,"-")</f>
        <v>North Team</v>
      </c>
      <c r="N40" t="str" cm="1">
        <f t="array" ref="N40">_xlfn.IFS(F40&gt;=0.7,"High", F40&gt;=0.4,"Medium", TRUE,"Low")</f>
        <v>Low</v>
      </c>
    </row>
    <row r="41" spans="1:14" x14ac:dyDescent="0.2">
      <c r="A41" t="s">
        <v>84</v>
      </c>
      <c r="B41" t="s">
        <v>85</v>
      </c>
      <c r="C41" t="s">
        <v>16</v>
      </c>
      <c r="D41" t="s">
        <v>43</v>
      </c>
      <c r="E41">
        <v>254000</v>
      </c>
      <c r="F41">
        <v>0.47</v>
      </c>
      <c r="G41" s="1">
        <v>46188</v>
      </c>
      <c r="I41" s="1">
        <v>46180</v>
      </c>
      <c r="J41">
        <v>7</v>
      </c>
      <c r="K41" t="str">
        <f t="shared" si="0"/>
        <v>David Washington</v>
      </c>
      <c r="L41" s="2">
        <f t="shared" si="1"/>
        <v>119380</v>
      </c>
      <c r="M41" t="str">
        <f>_xlfn.XLOOKUP(K41,Agents!A:A,Agents!B:B,"-")</f>
        <v>South Team</v>
      </c>
      <c r="N41" t="str" cm="1">
        <f t="array" ref="N41">_xlfn.IFS(F41&gt;=0.7,"High", F41&gt;=0.4,"Medium", TRUE,"Low")</f>
        <v>Medium</v>
      </c>
    </row>
    <row r="42" spans="1:14" x14ac:dyDescent="0.2">
      <c r="A42" t="s">
        <v>86</v>
      </c>
      <c r="B42" t="s">
        <v>56</v>
      </c>
      <c r="C42" t="s">
        <v>33</v>
      </c>
      <c r="D42" t="s">
        <v>17</v>
      </c>
      <c r="E42">
        <v>451000</v>
      </c>
      <c r="F42">
        <v>0.8</v>
      </c>
      <c r="G42" s="1">
        <v>46157</v>
      </c>
      <c r="I42" s="1">
        <v>46187</v>
      </c>
      <c r="J42">
        <v>24</v>
      </c>
      <c r="K42" t="str">
        <f t="shared" si="0"/>
        <v>Maria Garcia</v>
      </c>
      <c r="L42" s="2">
        <f t="shared" si="1"/>
        <v>360800</v>
      </c>
      <c r="M42" t="str">
        <f>_xlfn.XLOOKUP(K42,Agents!A:A,Agents!B:B,"-")</f>
        <v>North Team</v>
      </c>
      <c r="N42" t="str" cm="1">
        <f t="array" ref="N42">_xlfn.IFS(F42&gt;=0.7,"High", F42&gt;=0.4,"Medium", TRUE,"Low")</f>
        <v>High</v>
      </c>
    </row>
    <row r="43" spans="1:14" x14ac:dyDescent="0.2">
      <c r="A43" t="s">
        <v>87</v>
      </c>
      <c r="B43" t="s">
        <v>88</v>
      </c>
      <c r="C43" t="s">
        <v>24</v>
      </c>
      <c r="D43" t="s">
        <v>21</v>
      </c>
      <c r="E43">
        <v>736000</v>
      </c>
      <c r="F43">
        <v>0.24</v>
      </c>
      <c r="G43" s="1">
        <v>46113</v>
      </c>
      <c r="I43" s="1">
        <v>46170</v>
      </c>
      <c r="J43">
        <v>34</v>
      </c>
      <c r="K43" t="str">
        <f t="shared" si="0"/>
        <v>Priya Patel</v>
      </c>
      <c r="L43" s="2">
        <f t="shared" si="1"/>
        <v>176640</v>
      </c>
      <c r="M43" t="str">
        <f>_xlfn.XLOOKUP(K43,Agents!A:A,Agents!B:B,"-")</f>
        <v>North Team</v>
      </c>
      <c r="N43" t="str" cm="1">
        <f t="array" ref="N43">_xlfn.IFS(F43&gt;=0.7,"High", F43&gt;=0.4,"Medium", TRUE,"Low")</f>
        <v>Low</v>
      </c>
    </row>
    <row r="44" spans="1:14" x14ac:dyDescent="0.2">
      <c r="A44" t="s">
        <v>89</v>
      </c>
      <c r="B44" t="s">
        <v>71</v>
      </c>
      <c r="C44" t="s">
        <v>33</v>
      </c>
      <c r="D44" t="s">
        <v>25</v>
      </c>
      <c r="E44">
        <v>747000</v>
      </c>
      <c r="F44">
        <v>1</v>
      </c>
      <c r="G44" s="1">
        <v>46114</v>
      </c>
      <c r="H44" s="1">
        <v>46203</v>
      </c>
      <c r="I44" s="1">
        <v>46203</v>
      </c>
      <c r="J44">
        <v>17</v>
      </c>
      <c r="K44" t="str">
        <f t="shared" si="0"/>
        <v>Maria Garcia</v>
      </c>
      <c r="L44" s="2">
        <f t="shared" si="1"/>
        <v>747000</v>
      </c>
      <c r="M44" t="str">
        <f>_xlfn.XLOOKUP(K44,Agents!A:A,Agents!B:B,"-")</f>
        <v>North Team</v>
      </c>
      <c r="N44" t="str" cm="1">
        <f t="array" ref="N44">_xlfn.IFS(F44&gt;=0.7,"High", F44&gt;=0.4,"Medium", TRUE,"Low")</f>
        <v>High</v>
      </c>
    </row>
    <row r="45" spans="1:14" x14ac:dyDescent="0.2">
      <c r="A45" t="s">
        <v>90</v>
      </c>
      <c r="B45" t="s">
        <v>71</v>
      </c>
      <c r="C45" t="s">
        <v>29</v>
      </c>
      <c r="D45" t="s">
        <v>13</v>
      </c>
      <c r="E45">
        <v>339000</v>
      </c>
      <c r="F45">
        <v>0.14000000000000001</v>
      </c>
      <c r="G45" s="1">
        <v>46121</v>
      </c>
      <c r="I45" s="1">
        <v>46191</v>
      </c>
      <c r="J45">
        <v>22</v>
      </c>
      <c r="K45" t="str">
        <f t="shared" si="0"/>
        <v>Maria Garcia</v>
      </c>
      <c r="L45" s="2">
        <f t="shared" si="1"/>
        <v>47460.000000000007</v>
      </c>
      <c r="M45" t="str">
        <f>_xlfn.XLOOKUP(K45,Agents!A:A,Agents!B:B,"-")</f>
        <v>North Team</v>
      </c>
      <c r="N45" t="str" cm="1">
        <f t="array" ref="N45">_xlfn.IFS(F45&gt;=0.7,"High", F45&gt;=0.4,"Medium", TRUE,"Low")</f>
        <v>Low</v>
      </c>
    </row>
    <row r="46" spans="1:14" x14ac:dyDescent="0.2">
      <c r="A46" t="s">
        <v>91</v>
      </c>
      <c r="B46" t="s">
        <v>92</v>
      </c>
      <c r="C46" t="s">
        <v>24</v>
      </c>
      <c r="D46" t="s">
        <v>25</v>
      </c>
      <c r="E46">
        <v>829000</v>
      </c>
      <c r="F46">
        <v>1</v>
      </c>
      <c r="G46" s="1">
        <v>46123</v>
      </c>
      <c r="H46" s="1">
        <v>46185</v>
      </c>
      <c r="I46" s="1">
        <v>46185</v>
      </c>
      <c r="J46">
        <v>4</v>
      </c>
      <c r="K46" t="str">
        <f t="shared" si="0"/>
        <v>James O'Brien</v>
      </c>
      <c r="L46" s="2">
        <f t="shared" si="1"/>
        <v>829000</v>
      </c>
      <c r="M46" t="str">
        <f>_xlfn.XLOOKUP(K46,Agents!A:A,Agents!B:B,"-")</f>
        <v>Waterfront Team</v>
      </c>
      <c r="N46" t="str" cm="1">
        <f t="array" ref="N46">_xlfn.IFS(F46&gt;=0.7,"High", F46&gt;=0.4,"Medium", TRUE,"Low")</f>
        <v>High</v>
      </c>
    </row>
    <row r="47" spans="1:14" x14ac:dyDescent="0.2">
      <c r="A47" t="s">
        <v>93</v>
      </c>
      <c r="B47" t="s">
        <v>15</v>
      </c>
      <c r="C47" t="s">
        <v>24</v>
      </c>
      <c r="D47" t="s">
        <v>25</v>
      </c>
      <c r="E47">
        <v>613000</v>
      </c>
      <c r="F47">
        <v>1</v>
      </c>
      <c r="G47" s="1">
        <v>46120</v>
      </c>
      <c r="H47" s="1">
        <v>46152</v>
      </c>
      <c r="I47" s="1">
        <v>46152</v>
      </c>
      <c r="J47">
        <v>9</v>
      </c>
      <c r="K47" t="str">
        <f t="shared" si="0"/>
        <v>Maria Garcia</v>
      </c>
      <c r="L47" s="2">
        <f t="shared" si="1"/>
        <v>613000</v>
      </c>
      <c r="M47" t="str">
        <f>_xlfn.XLOOKUP(K47,Agents!A:A,Agents!B:B,"-")</f>
        <v>North Team</v>
      </c>
      <c r="N47" t="str" cm="1">
        <f t="array" ref="N47">_xlfn.IFS(F47&gt;=0.7,"High", F47&gt;=0.4,"Medium", TRUE,"Low")</f>
        <v>High</v>
      </c>
    </row>
    <row r="48" spans="1:14" x14ac:dyDescent="0.2">
      <c r="A48" t="s">
        <v>94</v>
      </c>
      <c r="B48" t="s">
        <v>42</v>
      </c>
      <c r="C48" t="s">
        <v>12</v>
      </c>
      <c r="D48" t="s">
        <v>43</v>
      </c>
      <c r="E48">
        <v>632000</v>
      </c>
      <c r="F48">
        <v>0.35</v>
      </c>
      <c r="G48" s="1">
        <v>46049</v>
      </c>
      <c r="I48" s="1">
        <v>46164</v>
      </c>
      <c r="J48">
        <v>8</v>
      </c>
      <c r="K48" t="str">
        <f t="shared" si="0"/>
        <v>Sofia Rossi</v>
      </c>
      <c r="L48" s="2">
        <f t="shared" si="1"/>
        <v>221200</v>
      </c>
      <c r="M48" t="str">
        <f>_xlfn.XLOOKUP(K48,Agents!A:A,Agents!B:B,"-")</f>
        <v>South Team</v>
      </c>
      <c r="N48" t="str" cm="1">
        <f t="array" ref="N48">_xlfn.IFS(F48&gt;=0.7,"High", F48&gt;=0.4,"Medium", TRUE,"Low")</f>
        <v>Low</v>
      </c>
    </row>
    <row r="49" spans="1:14" x14ac:dyDescent="0.2">
      <c r="A49" t="s">
        <v>95</v>
      </c>
      <c r="B49" t="s">
        <v>74</v>
      </c>
      <c r="C49" t="s">
        <v>16</v>
      </c>
      <c r="D49" t="s">
        <v>25</v>
      </c>
      <c r="E49">
        <v>332000</v>
      </c>
      <c r="F49">
        <v>1</v>
      </c>
      <c r="G49" s="1">
        <v>46051</v>
      </c>
      <c r="H49" s="1">
        <v>46083</v>
      </c>
      <c r="I49" s="1">
        <v>46083</v>
      </c>
      <c r="J49">
        <v>36</v>
      </c>
      <c r="K49" t="str">
        <f t="shared" si="0"/>
        <v>Maria Garcia</v>
      </c>
      <c r="L49" s="2">
        <f t="shared" si="1"/>
        <v>332000</v>
      </c>
      <c r="M49" t="str">
        <f>_xlfn.XLOOKUP(K49,Agents!A:A,Agents!B:B,"-")</f>
        <v>North Team</v>
      </c>
      <c r="N49" t="str" cm="1">
        <f t="array" ref="N49">_xlfn.IFS(F49&gt;=0.7,"High", F49&gt;=0.4,"Medium", TRUE,"Low")</f>
        <v>High</v>
      </c>
    </row>
    <row r="50" spans="1:14" x14ac:dyDescent="0.2">
      <c r="G50"/>
      <c r="H50"/>
      <c r="I50"/>
    </row>
    <row r="51" spans="1:14" x14ac:dyDescent="0.2">
      <c r="G51"/>
      <c r="H51"/>
      <c r="I51"/>
    </row>
    <row r="52" spans="1:14" x14ac:dyDescent="0.2">
      <c r="G52"/>
      <c r="H52"/>
      <c r="I52"/>
    </row>
  </sheetData>
  <conditionalFormatting sqref="F1:F104857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{3BE817FB-8E3D-0E48-ADF9-7DDD82042648}</x14:id>
        </ext>
      </extLst>
    </cfRule>
  </conditionalFormatting>
  <conditionalFormatting sqref="A2:N49">
    <cfRule type="expression" dxfId="0" priority="1">
      <formula>(TODAY()-$I2)&gt;30</formula>
    </cfRule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BE817FB-8E3D-0E48-ADF9-7DDD820426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F1:F1048576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898F2-5FED-3C4A-AD87-756908538C78}">
  <dimension ref="A1:C7"/>
  <sheetViews>
    <sheetView workbookViewId="0">
      <selection activeCell="A2" sqref="A2:A7"/>
    </sheetView>
  </sheetViews>
  <sheetFormatPr baseColWidth="10" defaultRowHeight="16" x14ac:dyDescent="0.2"/>
  <sheetData>
    <row r="1" spans="1:3" x14ac:dyDescent="0.2">
      <c r="A1" t="s">
        <v>1</v>
      </c>
      <c r="B1" t="s">
        <v>96</v>
      </c>
      <c r="C1" t="s">
        <v>97</v>
      </c>
    </row>
    <row r="2" spans="1:3" x14ac:dyDescent="0.2">
      <c r="A2" t="s">
        <v>56</v>
      </c>
      <c r="B2" t="s">
        <v>98</v>
      </c>
      <c r="C2" t="s">
        <v>99</v>
      </c>
    </row>
    <row r="3" spans="1:3" x14ac:dyDescent="0.2">
      <c r="A3" t="s">
        <v>100</v>
      </c>
      <c r="B3" t="s">
        <v>101</v>
      </c>
      <c r="C3" t="s">
        <v>102</v>
      </c>
    </row>
    <row r="4" spans="1:3" x14ac:dyDescent="0.2">
      <c r="A4" t="s">
        <v>88</v>
      </c>
      <c r="B4" t="s">
        <v>98</v>
      </c>
      <c r="C4" t="s">
        <v>103</v>
      </c>
    </row>
    <row r="5" spans="1:3" x14ac:dyDescent="0.2">
      <c r="A5" t="s">
        <v>78</v>
      </c>
      <c r="B5" t="s">
        <v>104</v>
      </c>
      <c r="C5" t="s">
        <v>99</v>
      </c>
    </row>
    <row r="6" spans="1:3" x14ac:dyDescent="0.2">
      <c r="A6" t="s">
        <v>51</v>
      </c>
      <c r="B6" t="s">
        <v>101</v>
      </c>
      <c r="C6" t="s">
        <v>102</v>
      </c>
    </row>
    <row r="7" spans="1:3" x14ac:dyDescent="0.2">
      <c r="A7" t="s">
        <v>62</v>
      </c>
      <c r="B7" t="s">
        <v>104</v>
      </c>
      <c r="C7" t="s">
        <v>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C922B-0067-DE4C-A146-2C2382DFF2CA}">
  <dimension ref="A1:F8"/>
  <sheetViews>
    <sheetView workbookViewId="0">
      <selection activeCell="I18" sqref="I18"/>
    </sheetView>
  </sheetViews>
  <sheetFormatPr baseColWidth="10" defaultColWidth="14.33203125" defaultRowHeight="16" x14ac:dyDescent="0.2"/>
  <cols>
    <col min="2" max="2" width="15.6640625" bestFit="1" customWidth="1"/>
    <col min="4" max="4" width="15.6640625" bestFit="1" customWidth="1"/>
  </cols>
  <sheetData>
    <row r="1" spans="1:6" x14ac:dyDescent="0.2">
      <c r="A1" t="s">
        <v>3</v>
      </c>
      <c r="B1" t="s">
        <v>108</v>
      </c>
      <c r="D1" t="s">
        <v>1</v>
      </c>
      <c r="E1" t="s">
        <v>109</v>
      </c>
      <c r="F1" t="s">
        <v>110</v>
      </c>
    </row>
    <row r="2" spans="1:6" x14ac:dyDescent="0.2">
      <c r="A2" t="s">
        <v>13</v>
      </c>
      <c r="B2" s="2">
        <f>SUMIFS(Deals!L:L, Deals!D:D, A2)</f>
        <v>261930</v>
      </c>
      <c r="D2" t="s">
        <v>56</v>
      </c>
      <c r="E2">
        <f>COUNTIFS(Deals!K:K, D2)</f>
        <v>15</v>
      </c>
      <c r="F2" s="2">
        <f>AVERAGEIFS(Deals!E:E, Deals!K:K, D2)</f>
        <v>529000</v>
      </c>
    </row>
    <row r="3" spans="1:6" x14ac:dyDescent="0.2">
      <c r="A3" t="s">
        <v>21</v>
      </c>
      <c r="B3" s="2">
        <f>SUMIFS(Deals!L:L, Deals!D:D, A3)</f>
        <v>1062790</v>
      </c>
      <c r="D3" t="s">
        <v>100</v>
      </c>
      <c r="E3">
        <f>COUNTIFS(Deals!K:K, D3)</f>
        <v>9</v>
      </c>
      <c r="F3" s="2">
        <f>AVERAGEIFS(Deals!E:E, Deals!K:K, D3)</f>
        <v>576111.11111111112</v>
      </c>
    </row>
    <row r="4" spans="1:6" x14ac:dyDescent="0.2">
      <c r="A4" t="s">
        <v>43</v>
      </c>
      <c r="B4" s="2">
        <f>SUMIFS(Deals!L:L, Deals!D:D, A4)</f>
        <v>1323270</v>
      </c>
      <c r="D4" t="s">
        <v>88</v>
      </c>
      <c r="E4">
        <f>COUNTIFS(Deals!K:K, D4)</f>
        <v>3</v>
      </c>
      <c r="F4" s="2">
        <f>AVERAGEIFS(Deals!E:E, Deals!K:K, D4)</f>
        <v>616666.66666666663</v>
      </c>
    </row>
    <row r="5" spans="1:6" x14ac:dyDescent="0.2">
      <c r="A5" t="s">
        <v>34</v>
      </c>
      <c r="B5" s="2">
        <f>SUMIFS(Deals!L:L, Deals!D:D, A5)</f>
        <v>1570700</v>
      </c>
      <c r="D5" t="s">
        <v>78</v>
      </c>
      <c r="E5">
        <f>COUNTIFS(Deals!K:K, D5)</f>
        <v>5</v>
      </c>
      <c r="F5" s="2">
        <f>AVERAGEIFS(Deals!E:E, Deals!K:K, D5)</f>
        <v>425800</v>
      </c>
    </row>
    <row r="6" spans="1:6" x14ac:dyDescent="0.2">
      <c r="A6" t="s">
        <v>17</v>
      </c>
      <c r="B6" s="2">
        <f>SUMIFS(Deals!L:L, Deals!D:D, A6)</f>
        <v>3296800</v>
      </c>
      <c r="D6" t="s">
        <v>51</v>
      </c>
      <c r="E6">
        <f>COUNTIFS(Deals!K:K, D6)</f>
        <v>8</v>
      </c>
      <c r="F6" s="2">
        <f>AVERAGEIFS(Deals!E:E, Deals!K:K, D6)</f>
        <v>423750</v>
      </c>
    </row>
    <row r="7" spans="1:6" x14ac:dyDescent="0.2">
      <c r="A7" t="s">
        <v>25</v>
      </c>
      <c r="B7" s="2">
        <f>SUMIFS(Deals!L:L, Deals!D:D, A7)</f>
        <v>7383000</v>
      </c>
      <c r="D7" t="s">
        <v>62</v>
      </c>
      <c r="E7">
        <f>COUNTIFS(Deals!K:K, D7)</f>
        <v>8</v>
      </c>
      <c r="F7" s="2">
        <f>AVERAGEIFS(Deals!E:E, Deals!K:K, D7)</f>
        <v>647750</v>
      </c>
    </row>
    <row r="8" spans="1:6" x14ac:dyDescent="0.2">
      <c r="A8" t="s">
        <v>40</v>
      </c>
      <c r="B8" s="2">
        <f>SUMIFS(Deals!L:L, Deals!D:D, A8)</f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</vt:lpstr>
      <vt:lpstr>Deals</vt:lpstr>
      <vt:lpstr>Agents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Whetstone</dc:creator>
  <cp:lastModifiedBy>Ben Whetstone</cp:lastModifiedBy>
  <dcterms:created xsi:type="dcterms:W3CDTF">2026-07-07T21:01:52Z</dcterms:created>
  <dcterms:modified xsi:type="dcterms:W3CDTF">2026-07-07T23:02:15Z</dcterms:modified>
</cp:coreProperties>
</file>